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ustavo\dashboard-cs\data\"/>
    </mc:Choice>
  </mc:AlternateContent>
  <xr:revisionPtr revIDLastSave="0" documentId="13_ncr:1_{680C259C-FA03-4335-BCA0-0ADC8B03E16D}" xr6:coauthVersionLast="47" xr6:coauthVersionMax="47" xr10:uidLastSave="{00000000-0000-0000-0000-000000000000}"/>
  <bookViews>
    <workbookView xWindow="28680" yWindow="-1590" windowWidth="29040" windowHeight="15720" activeTab="1" xr2:uid="{E00A0362-78D3-4787-B9BC-F6986C56C7C8}"/>
  </bookViews>
  <sheets>
    <sheet name="Informações Gerais" sheetId="1" r:id="rId1"/>
    <sheet name="Chamados Mensais 2025" sheetId="3" r:id="rId2"/>
    <sheet name="Chamados Mensais 2026" sheetId="4" r:id="rId3"/>
    <sheet name="xx" sheetId="2" r:id="rId4"/>
  </sheets>
  <definedNames>
    <definedName name="_xlnm._FilterDatabase" localSheetId="1" hidden="1">'Chamados Mensais 2025'!$A$2:$AE$45</definedName>
    <definedName name="_xlnm._FilterDatabase" localSheetId="2" hidden="1">'Chamados Mensais 2026'!$A$2:$AE$45</definedName>
    <definedName name="_xlnm._FilterDatabase" localSheetId="0" hidden="1">'Informações Gerais'!$A$1:$S$49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3" l="1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W45" i="3"/>
  <c r="X45" i="3"/>
  <c r="Y45" i="3"/>
  <c r="Z45" i="3"/>
  <c r="AA45" i="3"/>
  <c r="AB45" i="3"/>
  <c r="AC45" i="3"/>
  <c r="AD45" i="3"/>
  <c r="AE45" i="3"/>
  <c r="V45" i="3"/>
  <c r="L51" i="1"/>
  <c r="K51" i="1"/>
</calcChain>
</file>

<file path=xl/sharedStrings.xml><?xml version="1.0" encoding="utf-8"?>
<sst xmlns="http://schemas.openxmlformats.org/spreadsheetml/2006/main" count="1021" uniqueCount="349">
  <si>
    <t>CLIENTE</t>
  </si>
  <si>
    <t xml:space="preserve">ATIVIDADE PRINCIPAL </t>
  </si>
  <si>
    <t>GERENTE RESPONSÁVEL</t>
  </si>
  <si>
    <t>Customer Success Manager</t>
  </si>
  <si>
    <t>RESTRIÇÃO/SOLUÇÃO</t>
  </si>
  <si>
    <t>UNIDADE</t>
  </si>
  <si>
    <t>CONTATO</t>
  </si>
  <si>
    <t>TELEFONE</t>
  </si>
  <si>
    <t>E-MAIL</t>
  </si>
  <si>
    <t>ÚLTIMO CONTATO</t>
  </si>
  <si>
    <t xml:space="preserve">AT- RISK CUSTOMER
CLIENTE COM SINAL DE INSATISFAÇÃO </t>
  </si>
  <si>
    <t>CHURN RISK 
RISCO DE CANCELAMENTO</t>
  </si>
  <si>
    <t>ATIVAÇÃO</t>
  </si>
  <si>
    <t>VIGÊNCIA INICIAL</t>
  </si>
  <si>
    <t>VIGÊNCIA FINAL</t>
  </si>
  <si>
    <t>VALOR</t>
  </si>
  <si>
    <t>AUTORIZADO PELO COMERCIAL ENTRAR EM CONTATO</t>
  </si>
  <si>
    <t>OBSERVAÇÃO</t>
  </si>
  <si>
    <t xml:space="preserve">CLIENTES CANCELADOS </t>
  </si>
  <si>
    <t>AVANTIA</t>
  </si>
  <si>
    <t xml:space="preserve">Tecnologia e segurança </t>
  </si>
  <si>
    <t>Isabella</t>
  </si>
  <si>
    <t>Luciana Bento</t>
  </si>
  <si>
    <t>ToIP</t>
  </si>
  <si>
    <t>Recife</t>
  </si>
  <si>
    <t>Fernando Pereira</t>
  </si>
  <si>
    <t>11 99943-1016</t>
  </si>
  <si>
    <t>fernando.pereira@avantia.com.br</t>
  </si>
  <si>
    <t>NÃO</t>
  </si>
  <si>
    <t>10/25/2025</t>
  </si>
  <si>
    <t>ABIHPEC</t>
  </si>
  <si>
    <t>ACAD</t>
  </si>
  <si>
    <t xml:space="preserve">Escritório de contabilidade </t>
  </si>
  <si>
    <t>Google voice | Cloud PBX</t>
  </si>
  <si>
    <t>Espírito Santo</t>
  </si>
  <si>
    <t>Adelio Gonzaga</t>
  </si>
  <si>
    <t>(28) 99923-1532</t>
  </si>
  <si>
    <t>adeliogonzaga@grupoacad.com.br</t>
  </si>
  <si>
    <t>3/26/2024</t>
  </si>
  <si>
    <t>3/26/2027</t>
  </si>
  <si>
    <t>Acqio</t>
  </si>
  <si>
    <t>BRENNAND ENERGIA</t>
  </si>
  <si>
    <t xml:space="preserve">Energia renovável </t>
  </si>
  <si>
    <t>Dados</t>
  </si>
  <si>
    <t>Aline Oliveira</t>
  </si>
  <si>
    <t>81 2137-7025</t>
  </si>
  <si>
    <t>aline.oliveira@brennandenergia.com.br</t>
  </si>
  <si>
    <t>12/13/2022</t>
  </si>
  <si>
    <t>10/27/2022</t>
  </si>
  <si>
    <t>10/27/2025</t>
  </si>
  <si>
    <t>Agrodan</t>
  </si>
  <si>
    <t>CIJUN</t>
  </si>
  <si>
    <t>Companhia de informatica de Jundiai</t>
  </si>
  <si>
    <t>Dados | ToIP</t>
  </si>
  <si>
    <t>Jundiaí/SP</t>
  </si>
  <si>
    <t>José Alexandre / Carla Moraes</t>
  </si>
  <si>
    <t>(11) 4589-8911 / (11) 4589-8390</t>
  </si>
  <si>
    <t>jcunha@cijun.sp.gov.br / cmoraes@cijun.sp.gov.br</t>
  </si>
  <si>
    <t>12/30/2024</t>
  </si>
  <si>
    <t>3/24/2025</t>
  </si>
  <si>
    <t>3/24/2026</t>
  </si>
  <si>
    <t>Campari</t>
  </si>
  <si>
    <t>CISER</t>
  </si>
  <si>
    <t xml:space="preserve">Fábrica de parafusos </t>
  </si>
  <si>
    <t>Toip | Video</t>
  </si>
  <si>
    <t>Matriz/CDCJ/FAB4/Sarzedo/Hacasa</t>
  </si>
  <si>
    <t>Tiago Borba</t>
  </si>
  <si>
    <t>(47) 98845-1726</t>
  </si>
  <si>
    <t>Tiago.borba@ciser.com.br</t>
  </si>
  <si>
    <t>SIM</t>
  </si>
  <si>
    <t>Cliente crítico,  mas muito parceiro da Base</t>
  </si>
  <si>
    <t>CBMC</t>
  </si>
  <si>
    <t>CREDSYSTEM</t>
  </si>
  <si>
    <t xml:space="preserve">Cartão de crédito </t>
  </si>
  <si>
    <t>São Paulo</t>
  </si>
  <si>
    <t>Isabela Marques</t>
  </si>
  <si>
    <t>(11) 95639-1892</t>
  </si>
  <si>
    <t>isabela.marques@credsystem.com.br</t>
  </si>
  <si>
    <t xml:space="preserve">cancelado </t>
  </si>
  <si>
    <t>Cyrela ou CPP</t>
  </si>
  <si>
    <t xml:space="preserve">ELOPAR </t>
  </si>
  <si>
    <t>Administradora de Cartão de crédito</t>
  </si>
  <si>
    <t>Marcelo Ferreira</t>
  </si>
  <si>
    <t>(11) 99877-1871</t>
  </si>
  <si>
    <t>mferreira@elopar.com.br</t>
  </si>
  <si>
    <t>Condor</t>
  </si>
  <si>
    <t>EVERTEC</t>
  </si>
  <si>
    <t>Tecnologia financeira</t>
  </si>
  <si>
    <t>ToIP | Cloud PBX (0800)</t>
  </si>
  <si>
    <t>Gonzalo Madeira</t>
  </si>
  <si>
    <t>Gonzalo.DeOliveira@evertecinc.com</t>
  </si>
  <si>
    <t>Copagaz</t>
  </si>
  <si>
    <t>FERTGROUP</t>
  </si>
  <si>
    <t xml:space="preserve">Fertilização invitro </t>
  </si>
  <si>
    <t>GI</t>
  </si>
  <si>
    <t>Ana Paula Oliveira</t>
  </si>
  <si>
    <t>11 99264-5255</t>
  </si>
  <si>
    <t>ana.oliveira@fertgroup.com.br</t>
  </si>
  <si>
    <t>8/15/2025</t>
  </si>
  <si>
    <t>DAB / EBD/DAPAL/GRIFOS</t>
  </si>
  <si>
    <t>FUNSEJEM</t>
  </si>
  <si>
    <t>Previdência privada da Votorantim</t>
  </si>
  <si>
    <t>ToIP | Teams | URA</t>
  </si>
  <si>
    <t>Luciano Vilasboas</t>
  </si>
  <si>
    <t>(11) 33866519</t>
  </si>
  <si>
    <t>luciano.santos@funsejem.org.br</t>
  </si>
  <si>
    <t>-</t>
  </si>
  <si>
    <t>Dois A</t>
  </si>
  <si>
    <t>LM WINDPOWER</t>
  </si>
  <si>
    <t xml:space="preserve">Pás éolicas </t>
  </si>
  <si>
    <t>Suape/PE</t>
  </si>
  <si>
    <t>Lindemberg Figueiredo</t>
  </si>
  <si>
    <t>81 97114-7953</t>
  </si>
  <si>
    <t>lindemberg.figueiredodasilva@lmwindpower.com</t>
  </si>
  <si>
    <t>Cliente está fechando no Brasil</t>
  </si>
  <si>
    <t>Finsol</t>
  </si>
  <si>
    <t>META</t>
  </si>
  <si>
    <t xml:space="preserve">Serviços de informática </t>
  </si>
  <si>
    <t>ToIP|Contact Center|Cloud PBX</t>
  </si>
  <si>
    <t>Matriz/Lavoro/Lear/Gerdau/Canadá</t>
  </si>
  <si>
    <t>Rafael Fernandes</t>
  </si>
  <si>
    <t>Teams e e-mail</t>
  </si>
  <si>
    <t>rafael.fernandes@meta.com.br</t>
  </si>
  <si>
    <t xml:space="preserve">Cliente cancelou Meta Gerdau e já falou algumas vezes que não deseja mais de um fornecedor </t>
  </si>
  <si>
    <t>Localfrio</t>
  </si>
  <si>
    <t>NAGEM</t>
  </si>
  <si>
    <t xml:space="preserve">Material de informática </t>
  </si>
  <si>
    <t>CloudPBX</t>
  </si>
  <si>
    <t>ARACAJU</t>
  </si>
  <si>
    <t>Robson Menezes</t>
  </si>
  <si>
    <t>(81) 99299-4820/WhatsApp</t>
  </si>
  <si>
    <t>robson.menezes@nagem.com.br</t>
  </si>
  <si>
    <t>8/15/2022</t>
  </si>
  <si>
    <t>7/25/2022</t>
  </si>
  <si>
    <t>7/25/2025</t>
  </si>
  <si>
    <t>SALVADOR</t>
  </si>
  <si>
    <t>10/24/2022</t>
  </si>
  <si>
    <t>Nissin</t>
  </si>
  <si>
    <t>SEBRAE CE</t>
  </si>
  <si>
    <t>Cursos profissionalizantes para empresas</t>
  </si>
  <si>
    <t>Juazeiro do Norte-CE</t>
  </si>
  <si>
    <t>Joseh Sáfilo</t>
  </si>
  <si>
    <t>85.3255-6631</t>
  </si>
  <si>
    <t>joseh.safilo@ce.sebrae.com.br</t>
  </si>
  <si>
    <t>_</t>
  </si>
  <si>
    <t>Veneza Diesel</t>
  </si>
  <si>
    <t>TUPY</t>
  </si>
  <si>
    <t xml:space="preserve">Peças de engenharia e componentes estruturais </t>
  </si>
  <si>
    <t>Vídeo | ToIP</t>
  </si>
  <si>
    <t>Joinville/Betim/México/Holanda</t>
  </si>
  <si>
    <t>Daniel Alonso</t>
  </si>
  <si>
    <t>(47) 93618-7178 Fone</t>
  </si>
  <si>
    <t>daniel.alonso@tupy.com</t>
  </si>
  <si>
    <t>POC SEM SUCESSO</t>
  </si>
  <si>
    <t>Vídeo</t>
  </si>
  <si>
    <t>Betim</t>
  </si>
  <si>
    <t>Frederico Braga</t>
  </si>
  <si>
    <t>(31) 97509-3334</t>
  </si>
  <si>
    <t>frederico.braga@tupy.com</t>
  </si>
  <si>
    <t>Fiabesa</t>
  </si>
  <si>
    <t>México</t>
  </si>
  <si>
    <t>Ana Seyfert</t>
  </si>
  <si>
    <t>ana.seyfert@tupy.com</t>
  </si>
  <si>
    <t xml:space="preserve">Falta de uso de codec do México </t>
  </si>
  <si>
    <t>Acende Brasil</t>
  </si>
  <si>
    <t>ULTRACARGO</t>
  </si>
  <si>
    <t xml:space="preserve">Armazenagem de graneis líquidos </t>
  </si>
  <si>
    <t>Danillo Teixeira</t>
  </si>
  <si>
    <t>(11) 97357-8472</t>
  </si>
  <si>
    <t>danillo.teixeira@ultracargo.com.br</t>
  </si>
  <si>
    <t>5/26/2025</t>
  </si>
  <si>
    <t>5/26/2028</t>
  </si>
  <si>
    <t>PRIMEIRO FATURAMENTO OCORRERÁ EM FEVEREIRO E AS DATAS DE ATIVAÇÃO SÃO VARIAVEIS.</t>
  </si>
  <si>
    <t>Grupo Hard</t>
  </si>
  <si>
    <t>UNIDAS</t>
  </si>
  <si>
    <t>Locadora de carro</t>
  </si>
  <si>
    <t>Diversas unidades</t>
  </si>
  <si>
    <t>Ana Guerra</t>
  </si>
  <si>
    <t>(11) 94107-4960/(11) 3155-5738</t>
  </si>
  <si>
    <t>ana.guerra@unidas.com.br</t>
  </si>
  <si>
    <t>Haumak</t>
  </si>
  <si>
    <t>VOTORANTIM S.A.</t>
  </si>
  <si>
    <t xml:space="preserve">Banco, Cimento , Material de construção </t>
  </si>
  <si>
    <t>CloudPBX| Toip| Vídeo</t>
  </si>
  <si>
    <t>Amauri/Instituto/Legado/Memória/NY</t>
  </si>
  <si>
    <t>Rafael Nascimento</t>
  </si>
  <si>
    <t>rafael.nascimento@votorantim.com</t>
  </si>
  <si>
    <t>Problemas recorrentes nos ramais das secretárias</t>
  </si>
  <si>
    <t>Terrmotécnica</t>
  </si>
  <si>
    <t>HEJOASSU</t>
  </si>
  <si>
    <t>6/25/2024</t>
  </si>
  <si>
    <t>6/25/2027</t>
  </si>
  <si>
    <t>VOTORANTIM / COE</t>
  </si>
  <si>
    <t>LIMA - PERU</t>
  </si>
  <si>
    <t>Daniel Epequin</t>
  </si>
  <si>
    <t>41 99808-6593</t>
  </si>
  <si>
    <t>daniel.epequin.de1@votorantim.com</t>
  </si>
  <si>
    <t>Vídeo/Toip</t>
  </si>
  <si>
    <t>CURITIBA</t>
  </si>
  <si>
    <t>Adriano Czocher</t>
  </si>
  <si>
    <t>41 99779-0085</t>
  </si>
  <si>
    <t>adriano.czocher@votorantim.com</t>
  </si>
  <si>
    <t>VOTORANTIM</t>
  </si>
  <si>
    <t>Energia renovável</t>
  </si>
  <si>
    <t>AUREN</t>
  </si>
  <si>
    <t>Ademir Venancio</t>
  </si>
  <si>
    <t>(11) 91201-4760</t>
  </si>
  <si>
    <t>ademir.oliveira@aurenenergia.com.br</t>
  </si>
  <si>
    <t>Cliente provavelmente está esperando acabar a fidelização do contrato 07/08/26</t>
  </si>
  <si>
    <t>GPIPA</t>
  </si>
  <si>
    <t xml:space="preserve">Locação de carro pipa </t>
  </si>
  <si>
    <t>Stephany</t>
  </si>
  <si>
    <t>Telefonia</t>
  </si>
  <si>
    <t>RECIFE</t>
  </si>
  <si>
    <t xml:space="preserve">Rafael Correia </t>
  </si>
  <si>
    <t xml:space="preserve"> 819 8104-6474</t>
  </si>
  <si>
    <t>Rafael.correia@gpipabrasil.com.br</t>
  </si>
  <si>
    <t>BOLD</t>
  </si>
  <si>
    <t xml:space="preserve">Fornecedoras de placas diversas </t>
  </si>
  <si>
    <t>Cloud PBX</t>
  </si>
  <si>
    <t>Goiania</t>
  </si>
  <si>
    <t>Jeferson</t>
  </si>
  <si>
    <t>45 33073350</t>
  </si>
  <si>
    <t>jeferson.m@bold.net</t>
  </si>
  <si>
    <t>9/25/2024</t>
  </si>
  <si>
    <t>9/25/2027</t>
  </si>
  <si>
    <t>Maringá</t>
  </si>
  <si>
    <t>46 33073350</t>
  </si>
  <si>
    <t>1/24/2025</t>
  </si>
  <si>
    <t>Ribeirão Preto</t>
  </si>
  <si>
    <t>47 33073350</t>
  </si>
  <si>
    <t>DECAL</t>
  </si>
  <si>
    <t xml:space="preserve">Logistica e armazenamento de combustíveis </t>
  </si>
  <si>
    <t>Karla Barros</t>
  </si>
  <si>
    <t>81 3311-5957 / 97913-9351</t>
  </si>
  <si>
    <t>kbarros@decalbrasil.com/ ti@decalbrasil.com</t>
  </si>
  <si>
    <t>DENADAI</t>
  </si>
  <si>
    <t>Ramo alimentício</t>
  </si>
  <si>
    <t>Google Voice</t>
  </si>
  <si>
    <t>Janaína Villar</t>
  </si>
  <si>
    <t>janaina.villar@starg.com.br</t>
  </si>
  <si>
    <t>INDORAMA FIBRAS</t>
  </si>
  <si>
    <t>Fibras sintéticas</t>
  </si>
  <si>
    <t>Felipe Sousa</t>
  </si>
  <si>
    <t>11 98928-1154</t>
  </si>
  <si>
    <t>Felipe.sousa@br.indorama.net</t>
  </si>
  <si>
    <t>11/27/2020</t>
  </si>
  <si>
    <t>Cliente reclama que o Noc nunca atende no horário noturno (muito recorrente)</t>
  </si>
  <si>
    <t>INDORAMA POLÍMEROS</t>
  </si>
  <si>
    <t xml:space="preserve">Fábrica de polímeros </t>
  </si>
  <si>
    <t xml:space="preserve">Felipe Sousa </t>
  </si>
  <si>
    <t xml:space="preserve">11 98928-1154 </t>
  </si>
  <si>
    <t>2/20/2020</t>
  </si>
  <si>
    <t>LOCALIZA</t>
  </si>
  <si>
    <t>Rodrigo Maia</t>
  </si>
  <si>
    <t>(31) 3247-9249 / 98590-4875</t>
  </si>
  <si>
    <t>rodrigo.maia@localiza.com</t>
  </si>
  <si>
    <t>O valor do faturamento sofre variação mensalmente, devido aos pedidos de cancelamentos recorrentes.</t>
  </si>
  <si>
    <t>MASON</t>
  </si>
  <si>
    <t xml:space="preserve">Locadora de carro industrial </t>
  </si>
  <si>
    <t>SP/BH/MG/MS/BA/PA/RS/MT/RJ/PR/ES/AP/MA/PE/GO</t>
  </si>
  <si>
    <t xml:space="preserve">Moises 
 </t>
  </si>
  <si>
    <t>(31) 9 9212-6898/ 31 8461-9968</t>
  </si>
  <si>
    <t>moises.marques@masonholdings.com.br</t>
  </si>
  <si>
    <t xml:space="preserve">Cliente reclama muito do administrativo/ financeiro </t>
  </si>
  <si>
    <t>MUNDIAL</t>
  </si>
  <si>
    <t xml:space="preserve">Fábrica do ramo de beleza </t>
  </si>
  <si>
    <t>Teams | ToIP</t>
  </si>
  <si>
    <t>Rio Grande do Sul</t>
  </si>
  <si>
    <t>Leandro Canal</t>
  </si>
  <si>
    <t>54 99968 3219</t>
  </si>
  <si>
    <t>luciano.canal@mundial.com</t>
  </si>
  <si>
    <t>12/17/2021</t>
  </si>
  <si>
    <t>12/17/2024</t>
  </si>
  <si>
    <t>PQS</t>
  </si>
  <si>
    <t xml:space="preserve">Petroquímica </t>
  </si>
  <si>
    <t>Roberto Couceiro</t>
  </si>
  <si>
    <t>81 3311-4512 / 99162-0097</t>
  </si>
  <si>
    <t>roberto.couceiro@pqspe.com.br</t>
  </si>
  <si>
    <t>SINQIA</t>
  </si>
  <si>
    <t>Soluções em software de pagamento</t>
  </si>
  <si>
    <t>SP</t>
  </si>
  <si>
    <t>Luis Kapp</t>
  </si>
  <si>
    <t>luis.kapp@sinqia.com.br</t>
  </si>
  <si>
    <t>SRAB</t>
  </si>
  <si>
    <t>Escritório de direito</t>
  </si>
  <si>
    <t>Recife/PE</t>
  </si>
  <si>
    <t>CARLOS EDUARDO</t>
  </si>
  <si>
    <t xml:space="preserve"> 81 9434-6130</t>
  </si>
  <si>
    <t>carloseduardo@srab.adv.br</t>
  </si>
  <si>
    <t>3/22/2024</t>
  </si>
  <si>
    <t>TECNISA</t>
  </si>
  <si>
    <t>Construtora</t>
  </si>
  <si>
    <t>Contact Center</t>
  </si>
  <si>
    <t>Felipe Tesser</t>
  </si>
  <si>
    <t>11 97149-8221</t>
  </si>
  <si>
    <t>felipetesser@tecnisa.com.br</t>
  </si>
  <si>
    <t>5/24/2021</t>
  </si>
  <si>
    <t xml:space="preserve">Cliente crítico, sempre quando ocorre incidentes ele aciona todas as áreas </t>
  </si>
  <si>
    <t>UNIMED</t>
  </si>
  <si>
    <t>Hospital</t>
  </si>
  <si>
    <t xml:space="preserve">Felipe Siqueira </t>
  </si>
  <si>
    <t>81 34138094</t>
  </si>
  <si>
    <t>Felipe.ti@unimedrecife.com.br</t>
  </si>
  <si>
    <t>VEX</t>
  </si>
  <si>
    <t xml:space="preserve">Soluções financeiras </t>
  </si>
  <si>
    <t>Vídeo |Cloud PBX</t>
  </si>
  <si>
    <t>Ozael</t>
  </si>
  <si>
    <t>ozael@vexcapital.com.br</t>
  </si>
  <si>
    <t>CARGLASS</t>
  </si>
  <si>
    <t xml:space="preserve">Serviços automotivos </t>
  </si>
  <si>
    <t>Contact Center|Cloud PBX</t>
  </si>
  <si>
    <t>Renato Varza</t>
  </si>
  <si>
    <t>11 99220-9654</t>
  </si>
  <si>
    <t>renato.varza@carglass.com.br</t>
  </si>
  <si>
    <t>Cliente crítico, ficou insatisfeito devido a falta do gravador</t>
  </si>
  <si>
    <t>SKALA</t>
  </si>
  <si>
    <t>Cosméticos</t>
  </si>
  <si>
    <t>VIDEO</t>
  </si>
  <si>
    <t>Marcus Hebert</t>
  </si>
  <si>
    <t>11 94780-3958 </t>
  </si>
  <si>
    <t>marcus.carmo@skala.com.br</t>
  </si>
  <si>
    <t>8/25/2025</t>
  </si>
  <si>
    <t>FOCO</t>
  </si>
  <si>
    <t>PE</t>
  </si>
  <si>
    <t>Heberton Moura</t>
  </si>
  <si>
    <t>81 9665-0674</t>
  </si>
  <si>
    <t>heberton.moura@aluguefoco.com.br</t>
  </si>
  <si>
    <t>8/20/2025</t>
  </si>
  <si>
    <t>6/20/2025</t>
  </si>
  <si>
    <t>6/20/2028</t>
  </si>
  <si>
    <t>INTERCEMENT</t>
  </si>
  <si>
    <t xml:space="preserve">Fábrica de cimento </t>
  </si>
  <si>
    <t>TOIP</t>
  </si>
  <si>
    <t>Paulo Oliveira</t>
  </si>
  <si>
    <t>11 99614-0575</t>
  </si>
  <si>
    <t>poliveira@intercement.com</t>
  </si>
  <si>
    <t>11/17/2025</t>
  </si>
  <si>
    <t>11/17/2028</t>
  </si>
  <si>
    <t xml:space="preserve"> CHAMADOS </t>
  </si>
  <si>
    <t>Incidentes</t>
  </si>
  <si>
    <t>Solicitações</t>
  </si>
  <si>
    <t>SLA</t>
  </si>
  <si>
    <t xml:space="preserve">NÃO TEM </t>
  </si>
  <si>
    <t xml:space="preserve"> IMPLANTAÇÃO</t>
  </si>
  <si>
    <t>TOTAL:</t>
  </si>
  <si>
    <t xml:space="preserve"> </t>
  </si>
  <si>
    <t>TOTAL</t>
  </si>
  <si>
    <t>DASHBOARD / GRÁFICOS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</si>
</sst>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i/>
      <sz val="8"/>
      <color rgb="FF000000"/>
      <name val="Aptos Narrow"/>
      <family val="2"/>
      <scheme val="minor"/>
    </font>
    <font>
      <u/>
      <sz val="8"/>
      <name val="Aptos Narrow"/>
      <family val="2"/>
      <scheme val="minor"/>
    </font>
    <font>
      <sz val="8"/>
      <color theme="1"/>
      <name val="Aptos Narrow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b/>
      <sz val="12"/>
      <color theme="1"/>
      <name val="Aptos"/>
      <family val="2"/>
    </font>
    <font>
      <i/>
      <sz val="8"/>
      <name val="Aptos Narrow"/>
      <family val="2"/>
      <scheme val="minor"/>
    </font>
    <font>
      <b/>
      <sz val="8"/>
      <color theme="0"/>
      <name val="Aptos"/>
      <family val="2"/>
    </font>
    <font>
      <sz val="8"/>
      <color theme="1"/>
      <name val="Aptos"/>
      <family val="2"/>
    </font>
    <font>
      <sz val="8"/>
      <color rgb="FF000000"/>
      <name val="Calibri"/>
      <family val="2"/>
    </font>
    <font>
      <b/>
      <sz val="8"/>
      <color rgb="FFFFFFFF"/>
      <name val="Calibri"/>
      <family val="2"/>
    </font>
    <font>
      <b/>
      <sz val="8"/>
      <name val="Calibri"/>
      <family val="2"/>
    </font>
    <font>
      <b/>
      <sz val="8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97">
    <xf numFmtId="0" fontId="0" fillId="0" borderId="0" xfId="0"/>
    <xf numFmtId="0" fontId="9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0" xfId="0" applyFill="1"/>
    <xf numFmtId="14" fontId="5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" fontId="3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17" fontId="7" fillId="3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0" fillId="0" borderId="1" xfId="0" applyBorder="1"/>
    <xf numFmtId="0" fontId="11" fillId="3" borderId="2" xfId="0" applyFont="1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3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5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3" fillId="8" borderId="1" xfId="0" applyFont="1" applyFill="1" applyBorder="1" applyAlignment="1">
      <alignment horizontal="center" vertical="center"/>
    </xf>
    <xf numFmtId="17" fontId="0" fillId="0" borderId="0" xfId="0" applyNumberFormat="1"/>
    <xf numFmtId="0" fontId="8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0" fillId="4" borderId="1" xfId="0" applyFill="1" applyBorder="1"/>
    <xf numFmtId="0" fontId="0" fillId="9" borderId="1" xfId="0" applyFill="1" applyBorder="1"/>
    <xf numFmtId="0" fontId="0" fillId="10" borderId="0" xfId="0" applyFill="1"/>
    <xf numFmtId="0" fontId="3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3" fillId="0" borderId="1" xfId="0" applyFont="1" applyBorder="1"/>
    <xf numFmtId="0" fontId="17" fillId="12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14" fontId="16" fillId="13" borderId="1" xfId="0" applyNumberFormat="1" applyFont="1" applyFill="1" applyBorder="1" applyAlignment="1">
      <alignment horizontal="center" vertical="center"/>
    </xf>
    <xf numFmtId="14" fontId="16" fillId="3" borderId="1" xfId="0" applyNumberFormat="1" applyFont="1" applyFill="1" applyBorder="1" applyAlignment="1">
      <alignment horizontal="center"/>
    </xf>
    <xf numFmtId="8" fontId="16" fillId="3" borderId="1" xfId="0" applyNumberFormat="1" applyFont="1" applyFill="1" applyBorder="1"/>
    <xf numFmtId="0" fontId="16" fillId="3" borderId="1" xfId="0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16" fillId="3" borderId="1" xfId="0" applyFont="1" applyFill="1" applyBorder="1"/>
    <xf numFmtId="0" fontId="16" fillId="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/>
    </xf>
    <xf numFmtId="8" fontId="16" fillId="13" borderId="1" xfId="0" applyNumberFormat="1" applyFont="1" applyFill="1" applyBorder="1"/>
    <xf numFmtId="14" fontId="16" fillId="1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/>
    <xf numFmtId="4" fontId="3" fillId="3" borderId="1" xfId="0" applyNumberFormat="1" applyFont="1" applyFill="1" applyBorder="1"/>
    <xf numFmtId="0" fontId="7" fillId="3" borderId="1" xfId="1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6" fillId="3" borderId="0" xfId="0" applyFont="1" applyFill="1" applyAlignment="1">
      <alignment wrapText="1"/>
    </xf>
    <xf numFmtId="0" fontId="6" fillId="3" borderId="1" xfId="0" applyFont="1" applyFill="1" applyBorder="1" applyAlignment="1">
      <alignment horizontal="center" wrapText="1"/>
    </xf>
    <xf numFmtId="8" fontId="3" fillId="3" borderId="1" xfId="0" applyNumberFormat="1" applyFont="1" applyFill="1" applyBorder="1"/>
    <xf numFmtId="14" fontId="3" fillId="3" borderId="1" xfId="0" applyNumberFormat="1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17" fontId="10" fillId="10" borderId="3" xfId="0" applyNumberFormat="1" applyFont="1" applyFill="1" applyBorder="1" applyAlignment="1">
      <alignment horizontal="center"/>
    </xf>
    <xf numFmtId="17" fontId="10" fillId="10" borderId="5" xfId="0" applyNumberFormat="1" applyFont="1" applyFill="1" applyBorder="1" applyAlignment="1">
      <alignment horizontal="center"/>
    </xf>
    <xf numFmtId="17" fontId="10" fillId="10" borderId="4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17" fontId="10" fillId="10" borderId="6" xfId="0" applyNumberFormat="1" applyFont="1" applyFill="1" applyBorder="1" applyAlignment="1">
      <alignment horizontal="center"/>
    </xf>
    <xf numFmtId="17" fontId="10" fillId="10" borderId="7" xfId="0" applyNumberFormat="1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17" fontId="10" fillId="4" borderId="3" xfId="0" applyNumberFormat="1" applyFont="1" applyFill="1" applyBorder="1" applyAlignment="1">
      <alignment horizontal="center"/>
    </xf>
    <xf numFmtId="17" fontId="10" fillId="4" borderId="5" xfId="0" applyNumberFormat="1" applyFont="1" applyFill="1" applyBorder="1" applyAlignment="1">
      <alignment horizontal="center"/>
    </xf>
    <xf numFmtId="17" fontId="10" fillId="4" borderId="4" xfId="0" applyNumberFormat="1" applyFont="1" applyFill="1" applyBorder="1" applyAlignment="1">
      <alignment horizontal="center"/>
    </xf>
    <xf numFmtId="17" fontId="10" fillId="4" borderId="6" xfId="0" applyNumberFormat="1" applyFont="1" applyFill="1" applyBorder="1" applyAlignment="1">
      <alignment horizontal="center"/>
    </xf>
    <xf numFmtId="17" fontId="10" fillId="4" borderId="7" xfId="0" applyNumberFormat="1" applyFont="1" applyFill="1" applyBorder="1" applyAlignment="1">
      <alignment horizontal="center"/>
    </xf>
    <xf numFmtId="17" fontId="10" fillId="4" borderId="10" xfId="0" applyNumberFormat="1" applyFont="1" applyFill="1" applyBorder="1" applyAlignment="1">
      <alignment horizontal="center"/>
    </xf>
  </cellXfs>
  <cellStyles count="3">
    <cellStyle name="Hiperlink" xfId="1" builtinId="8"/>
    <cellStyle name="Hyperlink" xfId="2" xr:uid="{F48A4C22-C01F-4396-BED8-A9D8ED2E7D8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419877</xdr:colOff>
      <xdr:row>1</xdr:row>
      <xdr:rowOff>23327</xdr:rowOff>
    </xdr:from>
    <xdr:to>
      <xdr:col>4</xdr:col>
      <xdr:colOff>606489</xdr:colOff>
      <xdr:row>1</xdr:row>
      <xdr:rowOff>163286</xdr:rowOff>
    </xdr:to>
    <xdr:sp macro="" textlink="">
      <xdr:nvSpPr>
        <xdr:cNvPr id="9" name="Seta: para Baixo 8">
          <a:extLst>
            <a:ext uri="{FF2B5EF4-FFF2-40B4-BE49-F238E27FC236}">
              <a16:creationId xmlns:a16="http://schemas.microsoft.com/office/drawing/2014/main" id="{F412D085-F8DB-0711-1C7A-8FC3C1F14F6B}"/>
            </a:ext>
          </a:extLst>
        </xdr:cNvPr>
        <xdr:cNvSpPr/>
      </xdr:nvSpPr>
      <xdr:spPr>
        <a:xfrm>
          <a:off x="3110204" y="209939"/>
          <a:ext cx="186612" cy="1399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350832</xdr:colOff>
      <xdr:row>1</xdr:row>
      <xdr:rowOff>23327</xdr:rowOff>
    </xdr:from>
    <xdr:to>
      <xdr:col>5</xdr:col>
      <xdr:colOff>520959</xdr:colOff>
      <xdr:row>1</xdr:row>
      <xdr:rowOff>163286</xdr:rowOff>
    </xdr:to>
    <xdr:sp macro="" textlink="">
      <xdr:nvSpPr>
        <xdr:cNvPr id="10" name="Seta: para Cima 9">
          <a:extLst>
            <a:ext uri="{FF2B5EF4-FFF2-40B4-BE49-F238E27FC236}">
              <a16:creationId xmlns:a16="http://schemas.microsoft.com/office/drawing/2014/main" id="{C6D884B3-BBDC-6F71-9B63-1B231673CE04}"/>
            </a:ext>
          </a:extLst>
        </xdr:cNvPr>
        <xdr:cNvSpPr/>
      </xdr:nvSpPr>
      <xdr:spPr>
        <a:xfrm>
          <a:off x="3849812" y="209939"/>
          <a:ext cx="170127" cy="13995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419877</xdr:colOff>
      <xdr:row>1</xdr:row>
      <xdr:rowOff>23327</xdr:rowOff>
    </xdr:from>
    <xdr:to>
      <xdr:col>9</xdr:col>
      <xdr:colOff>606489</xdr:colOff>
      <xdr:row>1</xdr:row>
      <xdr:rowOff>163286</xdr:rowOff>
    </xdr:to>
    <xdr:sp macro="" textlink="">
      <xdr:nvSpPr>
        <xdr:cNvPr id="11" name="Seta: para Baixo 10">
          <a:extLst>
            <a:ext uri="{FF2B5EF4-FFF2-40B4-BE49-F238E27FC236}">
              <a16:creationId xmlns:a16="http://schemas.microsoft.com/office/drawing/2014/main" id="{86A20A30-F8B4-4A69-B802-2784CF886E3A}"/>
            </a:ext>
          </a:extLst>
        </xdr:cNvPr>
        <xdr:cNvSpPr/>
      </xdr:nvSpPr>
      <xdr:spPr>
        <a:xfrm>
          <a:off x="3110204" y="209939"/>
          <a:ext cx="186612" cy="1399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350832</xdr:colOff>
      <xdr:row>1</xdr:row>
      <xdr:rowOff>23327</xdr:rowOff>
    </xdr:from>
    <xdr:to>
      <xdr:col>10</xdr:col>
      <xdr:colOff>520959</xdr:colOff>
      <xdr:row>1</xdr:row>
      <xdr:rowOff>163286</xdr:rowOff>
    </xdr:to>
    <xdr:sp macro="" textlink="">
      <xdr:nvSpPr>
        <xdr:cNvPr id="12" name="Seta: para Cima 11">
          <a:extLst>
            <a:ext uri="{FF2B5EF4-FFF2-40B4-BE49-F238E27FC236}">
              <a16:creationId xmlns:a16="http://schemas.microsoft.com/office/drawing/2014/main" id="{FDB42DF4-864E-4AB7-A167-1A1B253D1F13}"/>
            </a:ext>
          </a:extLst>
        </xdr:cNvPr>
        <xdr:cNvSpPr/>
      </xdr:nvSpPr>
      <xdr:spPr>
        <a:xfrm>
          <a:off x="3849812" y="209939"/>
          <a:ext cx="170127" cy="13995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419877</xdr:colOff>
      <xdr:row>1</xdr:row>
      <xdr:rowOff>23327</xdr:rowOff>
    </xdr:from>
    <xdr:to>
      <xdr:col>14</xdr:col>
      <xdr:colOff>606489</xdr:colOff>
      <xdr:row>1</xdr:row>
      <xdr:rowOff>163286</xdr:rowOff>
    </xdr:to>
    <xdr:sp macro="" textlink="">
      <xdr:nvSpPr>
        <xdr:cNvPr id="13" name="Seta: para Baixo 12">
          <a:extLst>
            <a:ext uri="{FF2B5EF4-FFF2-40B4-BE49-F238E27FC236}">
              <a16:creationId xmlns:a16="http://schemas.microsoft.com/office/drawing/2014/main" id="{43B852C0-DF17-49FD-9A58-9CEB2B126B4D}"/>
            </a:ext>
          </a:extLst>
        </xdr:cNvPr>
        <xdr:cNvSpPr/>
      </xdr:nvSpPr>
      <xdr:spPr>
        <a:xfrm>
          <a:off x="3110204" y="209939"/>
          <a:ext cx="186612" cy="1399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350832</xdr:colOff>
      <xdr:row>1</xdr:row>
      <xdr:rowOff>23327</xdr:rowOff>
    </xdr:from>
    <xdr:to>
      <xdr:col>15</xdr:col>
      <xdr:colOff>520959</xdr:colOff>
      <xdr:row>1</xdr:row>
      <xdr:rowOff>163286</xdr:rowOff>
    </xdr:to>
    <xdr:sp macro="" textlink="">
      <xdr:nvSpPr>
        <xdr:cNvPr id="14" name="Seta: para Cima 13">
          <a:extLst>
            <a:ext uri="{FF2B5EF4-FFF2-40B4-BE49-F238E27FC236}">
              <a16:creationId xmlns:a16="http://schemas.microsoft.com/office/drawing/2014/main" id="{06785E89-7159-4327-83A8-602E8F4285BA}"/>
            </a:ext>
          </a:extLst>
        </xdr:cNvPr>
        <xdr:cNvSpPr/>
      </xdr:nvSpPr>
      <xdr:spPr>
        <a:xfrm>
          <a:off x="3849812" y="209939"/>
          <a:ext cx="170127" cy="13995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458754</xdr:colOff>
      <xdr:row>1</xdr:row>
      <xdr:rowOff>23327</xdr:rowOff>
    </xdr:from>
    <xdr:to>
      <xdr:col>19</xdr:col>
      <xdr:colOff>645366</xdr:colOff>
      <xdr:row>1</xdr:row>
      <xdr:rowOff>163286</xdr:rowOff>
    </xdr:to>
    <xdr:sp macro="" textlink="">
      <xdr:nvSpPr>
        <xdr:cNvPr id="15" name="Seta: para Baixo 14">
          <a:extLst>
            <a:ext uri="{FF2B5EF4-FFF2-40B4-BE49-F238E27FC236}">
              <a16:creationId xmlns:a16="http://schemas.microsoft.com/office/drawing/2014/main" id="{C126FF86-7A0C-4373-AD07-24E9EFDD078E}"/>
            </a:ext>
          </a:extLst>
        </xdr:cNvPr>
        <xdr:cNvSpPr/>
      </xdr:nvSpPr>
      <xdr:spPr>
        <a:xfrm>
          <a:off x="14586856" y="209939"/>
          <a:ext cx="186612" cy="1399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350832</xdr:colOff>
      <xdr:row>1</xdr:row>
      <xdr:rowOff>23327</xdr:rowOff>
    </xdr:from>
    <xdr:to>
      <xdr:col>20</xdr:col>
      <xdr:colOff>520959</xdr:colOff>
      <xdr:row>1</xdr:row>
      <xdr:rowOff>163286</xdr:rowOff>
    </xdr:to>
    <xdr:sp macro="" textlink="">
      <xdr:nvSpPr>
        <xdr:cNvPr id="16" name="Seta: para Cima 15">
          <a:extLst>
            <a:ext uri="{FF2B5EF4-FFF2-40B4-BE49-F238E27FC236}">
              <a16:creationId xmlns:a16="http://schemas.microsoft.com/office/drawing/2014/main" id="{F1B2D204-9B18-4F12-8FBF-59A6FA6501B0}"/>
            </a:ext>
          </a:extLst>
        </xdr:cNvPr>
        <xdr:cNvSpPr/>
      </xdr:nvSpPr>
      <xdr:spPr>
        <a:xfrm>
          <a:off x="3849812" y="209939"/>
          <a:ext cx="170127" cy="13995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404326</xdr:colOff>
      <xdr:row>1</xdr:row>
      <xdr:rowOff>23327</xdr:rowOff>
    </xdr:from>
    <xdr:to>
      <xdr:col>24</xdr:col>
      <xdr:colOff>590938</xdr:colOff>
      <xdr:row>1</xdr:row>
      <xdr:rowOff>163286</xdr:rowOff>
    </xdr:to>
    <xdr:sp macro="" textlink="">
      <xdr:nvSpPr>
        <xdr:cNvPr id="17" name="Seta: para Baixo 16">
          <a:extLst>
            <a:ext uri="{FF2B5EF4-FFF2-40B4-BE49-F238E27FC236}">
              <a16:creationId xmlns:a16="http://schemas.microsoft.com/office/drawing/2014/main" id="{7EB0A9FB-3660-4D0A-8B36-DFD25A88806F}"/>
            </a:ext>
          </a:extLst>
        </xdr:cNvPr>
        <xdr:cNvSpPr/>
      </xdr:nvSpPr>
      <xdr:spPr>
        <a:xfrm>
          <a:off x="17914775" y="209939"/>
          <a:ext cx="186612" cy="1399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350832</xdr:colOff>
      <xdr:row>1</xdr:row>
      <xdr:rowOff>23327</xdr:rowOff>
    </xdr:from>
    <xdr:to>
      <xdr:col>25</xdr:col>
      <xdr:colOff>520959</xdr:colOff>
      <xdr:row>1</xdr:row>
      <xdr:rowOff>163286</xdr:rowOff>
    </xdr:to>
    <xdr:sp macro="" textlink="">
      <xdr:nvSpPr>
        <xdr:cNvPr id="18" name="Seta: para Cima 17">
          <a:extLst>
            <a:ext uri="{FF2B5EF4-FFF2-40B4-BE49-F238E27FC236}">
              <a16:creationId xmlns:a16="http://schemas.microsoft.com/office/drawing/2014/main" id="{BADDE6D3-D837-4F42-954A-046D4FCEC17B}"/>
            </a:ext>
          </a:extLst>
        </xdr:cNvPr>
        <xdr:cNvSpPr/>
      </xdr:nvSpPr>
      <xdr:spPr>
        <a:xfrm>
          <a:off x="3849812" y="209939"/>
          <a:ext cx="170127" cy="13995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536520</xdr:colOff>
      <xdr:row>13</xdr:row>
      <xdr:rowOff>108441</xdr:rowOff>
    </xdr:from>
    <xdr:to>
      <xdr:col>7</xdr:col>
      <xdr:colOff>544800</xdr:colOff>
      <xdr:row>13</xdr:row>
      <xdr:rowOff>105266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Tinta 18">
              <a:extLst>
                <a:ext uri="{FF2B5EF4-FFF2-40B4-BE49-F238E27FC236}">
                  <a16:creationId xmlns:a16="http://schemas.microsoft.com/office/drawing/2014/main" id="{CE282E94-8AF9-70CF-566F-6367731FB823}"/>
                </a:ext>
              </a:extLst>
            </xdr14:cNvPr>
            <xdr14:cNvContentPartPr/>
          </xdr14:nvContentPartPr>
          <xdr14:nvPr macro=""/>
          <xdr14:xfrm>
            <a:off x="4727520" y="2534400"/>
            <a:ext cx="8280" cy="360"/>
          </xdr14:xfrm>
        </xdr:contentPart>
      </mc:Choice>
      <mc:Fallback xmlns="">
        <xdr:pic>
          <xdr:nvPicPr>
            <xdr:cNvPr id="19" name="Tinta 18">
              <a:extLst>
                <a:ext uri="{FF2B5EF4-FFF2-40B4-BE49-F238E27FC236}">
                  <a16:creationId xmlns:a16="http://schemas.microsoft.com/office/drawing/2014/main" id="{CE282E94-8AF9-70CF-566F-6367731FB82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721400" y="2528280"/>
              <a:ext cx="205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326341</xdr:colOff>
      <xdr:row>2</xdr:row>
      <xdr:rowOff>46536</xdr:rowOff>
    </xdr:from>
    <xdr:to>
      <xdr:col>27</xdr:col>
      <xdr:colOff>326701</xdr:colOff>
      <xdr:row>2</xdr:row>
      <xdr:rowOff>49711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6113B135-0D10-0765-DE08-A26A5DE73C37}"/>
                </a:ext>
              </a:extLst>
            </xdr14:cNvPr>
            <xdr14:cNvContentPartPr/>
          </xdr14:nvContentPartPr>
          <xdr14:nvPr macro=""/>
          <xdr14:xfrm>
            <a:off x="15659647" y="419760"/>
            <a:ext cx="360" cy="360"/>
          </xdr14:xfrm>
        </xdr:contentPart>
      </mc:Choice>
      <mc:Fallback xmlns="">
        <xdr:pic>
          <xdr:nvPicPr>
            <xdr:cNvPr id="20" name="Tinta 19">
              <a:extLst>
                <a:ext uri="{FF2B5EF4-FFF2-40B4-BE49-F238E27FC236}">
                  <a16:creationId xmlns:a16="http://schemas.microsoft.com/office/drawing/2014/main" id="{6113B135-0D10-0765-DE08-A26A5DE73C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653527" y="413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29</xdr:col>
      <xdr:colOff>458754</xdr:colOff>
      <xdr:row>1</xdr:row>
      <xdr:rowOff>23327</xdr:rowOff>
    </xdr:from>
    <xdr:to>
      <xdr:col>29</xdr:col>
      <xdr:colOff>645366</xdr:colOff>
      <xdr:row>1</xdr:row>
      <xdr:rowOff>163286</xdr:rowOff>
    </xdr:to>
    <xdr:sp macro="" textlink="">
      <xdr:nvSpPr>
        <xdr:cNvPr id="21" name="Seta: para Baixo 20">
          <a:extLst>
            <a:ext uri="{FF2B5EF4-FFF2-40B4-BE49-F238E27FC236}">
              <a16:creationId xmlns:a16="http://schemas.microsoft.com/office/drawing/2014/main" id="{8D637B69-9D10-4C33-91BA-A8FFCD3B9A81}"/>
            </a:ext>
          </a:extLst>
        </xdr:cNvPr>
        <xdr:cNvSpPr/>
      </xdr:nvSpPr>
      <xdr:spPr>
        <a:xfrm>
          <a:off x="14586856" y="209939"/>
          <a:ext cx="186612" cy="1399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350832</xdr:colOff>
      <xdr:row>1</xdr:row>
      <xdr:rowOff>23327</xdr:rowOff>
    </xdr:from>
    <xdr:to>
      <xdr:col>30</xdr:col>
      <xdr:colOff>520959</xdr:colOff>
      <xdr:row>1</xdr:row>
      <xdr:rowOff>163286</xdr:rowOff>
    </xdr:to>
    <xdr:sp macro="" textlink="">
      <xdr:nvSpPr>
        <xdr:cNvPr id="22" name="Seta: para Cima 21">
          <a:extLst>
            <a:ext uri="{FF2B5EF4-FFF2-40B4-BE49-F238E27FC236}">
              <a16:creationId xmlns:a16="http://schemas.microsoft.com/office/drawing/2014/main" id="{6545637E-52C1-4F8F-A91F-DFD2BD2647FC}"/>
            </a:ext>
          </a:extLst>
        </xdr:cNvPr>
        <xdr:cNvSpPr/>
      </xdr:nvSpPr>
      <xdr:spPr>
        <a:xfrm>
          <a:off x="15264261" y="209939"/>
          <a:ext cx="170127" cy="13995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419877</xdr:colOff>
      <xdr:row>1</xdr:row>
      <xdr:rowOff>23327</xdr:rowOff>
    </xdr:from>
    <xdr:to>
      <xdr:col>4</xdr:col>
      <xdr:colOff>606489</xdr:colOff>
      <xdr:row>1</xdr:row>
      <xdr:rowOff>163286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19229BAE-19B9-4E41-869D-4AA49B235AC5}"/>
            </a:ext>
          </a:extLst>
        </xdr:cNvPr>
        <xdr:cNvSpPr/>
      </xdr:nvSpPr>
      <xdr:spPr>
        <a:xfrm>
          <a:off x="4429902" y="207477"/>
          <a:ext cx="186612" cy="13360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350832</xdr:colOff>
      <xdr:row>1</xdr:row>
      <xdr:rowOff>23327</xdr:rowOff>
    </xdr:from>
    <xdr:to>
      <xdr:col>5</xdr:col>
      <xdr:colOff>520959</xdr:colOff>
      <xdr:row>1</xdr:row>
      <xdr:rowOff>163286</xdr:rowOff>
    </xdr:to>
    <xdr:sp macro="" textlink="">
      <xdr:nvSpPr>
        <xdr:cNvPr id="3" name="Seta: para Cima 2">
          <a:extLst>
            <a:ext uri="{FF2B5EF4-FFF2-40B4-BE49-F238E27FC236}">
              <a16:creationId xmlns:a16="http://schemas.microsoft.com/office/drawing/2014/main" id="{DF617721-A089-4715-A88B-99FFF3269D46}"/>
            </a:ext>
          </a:extLst>
        </xdr:cNvPr>
        <xdr:cNvSpPr/>
      </xdr:nvSpPr>
      <xdr:spPr>
        <a:xfrm>
          <a:off x="5183182" y="207477"/>
          <a:ext cx="170127" cy="13360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419877</xdr:colOff>
      <xdr:row>1</xdr:row>
      <xdr:rowOff>23327</xdr:rowOff>
    </xdr:from>
    <xdr:to>
      <xdr:col>9</xdr:col>
      <xdr:colOff>606489</xdr:colOff>
      <xdr:row>1</xdr:row>
      <xdr:rowOff>163286</xdr:rowOff>
    </xdr:to>
    <xdr:sp macro="" textlink="">
      <xdr:nvSpPr>
        <xdr:cNvPr id="4" name="Seta: para Baixo 3">
          <a:extLst>
            <a:ext uri="{FF2B5EF4-FFF2-40B4-BE49-F238E27FC236}">
              <a16:creationId xmlns:a16="http://schemas.microsoft.com/office/drawing/2014/main" id="{8EC78AB1-681D-4518-BE5D-D598714127FB}"/>
            </a:ext>
          </a:extLst>
        </xdr:cNvPr>
        <xdr:cNvSpPr/>
      </xdr:nvSpPr>
      <xdr:spPr>
        <a:xfrm>
          <a:off x="8077977" y="207477"/>
          <a:ext cx="186612" cy="13360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350832</xdr:colOff>
      <xdr:row>1</xdr:row>
      <xdr:rowOff>23327</xdr:rowOff>
    </xdr:from>
    <xdr:to>
      <xdr:col>10</xdr:col>
      <xdr:colOff>520959</xdr:colOff>
      <xdr:row>1</xdr:row>
      <xdr:rowOff>163286</xdr:rowOff>
    </xdr:to>
    <xdr:sp macro="" textlink="">
      <xdr:nvSpPr>
        <xdr:cNvPr id="5" name="Seta: para Cima 4">
          <a:extLst>
            <a:ext uri="{FF2B5EF4-FFF2-40B4-BE49-F238E27FC236}">
              <a16:creationId xmlns:a16="http://schemas.microsoft.com/office/drawing/2014/main" id="{87BF8C3B-BD2D-4C91-BFFF-D12CD9A3D6BC}"/>
            </a:ext>
          </a:extLst>
        </xdr:cNvPr>
        <xdr:cNvSpPr/>
      </xdr:nvSpPr>
      <xdr:spPr>
        <a:xfrm>
          <a:off x="8840782" y="207477"/>
          <a:ext cx="170127" cy="13360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419877</xdr:colOff>
      <xdr:row>1</xdr:row>
      <xdr:rowOff>23327</xdr:rowOff>
    </xdr:from>
    <xdr:to>
      <xdr:col>14</xdr:col>
      <xdr:colOff>606489</xdr:colOff>
      <xdr:row>1</xdr:row>
      <xdr:rowOff>163286</xdr:rowOff>
    </xdr:to>
    <xdr:sp macro="" textlink="">
      <xdr:nvSpPr>
        <xdr:cNvPr id="6" name="Seta: para Baixo 5">
          <a:extLst>
            <a:ext uri="{FF2B5EF4-FFF2-40B4-BE49-F238E27FC236}">
              <a16:creationId xmlns:a16="http://schemas.microsoft.com/office/drawing/2014/main" id="{C4C2C8B3-F066-40D3-B1FD-1366DC1F2388}"/>
            </a:ext>
          </a:extLst>
        </xdr:cNvPr>
        <xdr:cNvSpPr/>
      </xdr:nvSpPr>
      <xdr:spPr>
        <a:xfrm>
          <a:off x="11487927" y="207477"/>
          <a:ext cx="186612" cy="13360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350832</xdr:colOff>
      <xdr:row>1</xdr:row>
      <xdr:rowOff>23327</xdr:rowOff>
    </xdr:from>
    <xdr:to>
      <xdr:col>15</xdr:col>
      <xdr:colOff>520959</xdr:colOff>
      <xdr:row>1</xdr:row>
      <xdr:rowOff>163286</xdr:rowOff>
    </xdr:to>
    <xdr:sp macro="" textlink="">
      <xdr:nvSpPr>
        <xdr:cNvPr id="7" name="Seta: para Cima 6">
          <a:extLst>
            <a:ext uri="{FF2B5EF4-FFF2-40B4-BE49-F238E27FC236}">
              <a16:creationId xmlns:a16="http://schemas.microsoft.com/office/drawing/2014/main" id="{E30D8ABC-662B-4FAD-AD15-CF7082A90930}"/>
            </a:ext>
          </a:extLst>
        </xdr:cNvPr>
        <xdr:cNvSpPr/>
      </xdr:nvSpPr>
      <xdr:spPr>
        <a:xfrm>
          <a:off x="12279307" y="207477"/>
          <a:ext cx="170127" cy="13360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458754</xdr:colOff>
      <xdr:row>1</xdr:row>
      <xdr:rowOff>23327</xdr:rowOff>
    </xdr:from>
    <xdr:to>
      <xdr:col>19</xdr:col>
      <xdr:colOff>645366</xdr:colOff>
      <xdr:row>1</xdr:row>
      <xdr:rowOff>163286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E2D6CB5F-2A5D-427B-9014-BCB6FE54C97B}"/>
            </a:ext>
          </a:extLst>
        </xdr:cNvPr>
        <xdr:cNvSpPr/>
      </xdr:nvSpPr>
      <xdr:spPr>
        <a:xfrm>
          <a:off x="15022479" y="207477"/>
          <a:ext cx="186612" cy="13360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350832</xdr:colOff>
      <xdr:row>1</xdr:row>
      <xdr:rowOff>23327</xdr:rowOff>
    </xdr:from>
    <xdr:to>
      <xdr:col>20</xdr:col>
      <xdr:colOff>520959</xdr:colOff>
      <xdr:row>1</xdr:row>
      <xdr:rowOff>163286</xdr:rowOff>
    </xdr:to>
    <xdr:sp macro="" textlink="">
      <xdr:nvSpPr>
        <xdr:cNvPr id="9" name="Seta: para Cima 8">
          <a:extLst>
            <a:ext uri="{FF2B5EF4-FFF2-40B4-BE49-F238E27FC236}">
              <a16:creationId xmlns:a16="http://schemas.microsoft.com/office/drawing/2014/main" id="{9DF87C47-E30F-4A62-AAB9-39E308D3A295}"/>
            </a:ext>
          </a:extLst>
        </xdr:cNvPr>
        <xdr:cNvSpPr/>
      </xdr:nvSpPr>
      <xdr:spPr>
        <a:xfrm>
          <a:off x="15717832" y="207477"/>
          <a:ext cx="170127" cy="13360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404326</xdr:colOff>
      <xdr:row>1</xdr:row>
      <xdr:rowOff>23327</xdr:rowOff>
    </xdr:from>
    <xdr:to>
      <xdr:col>24</xdr:col>
      <xdr:colOff>590938</xdr:colOff>
      <xdr:row>1</xdr:row>
      <xdr:rowOff>163286</xdr:rowOff>
    </xdr:to>
    <xdr:sp macro="" textlink="">
      <xdr:nvSpPr>
        <xdr:cNvPr id="10" name="Seta: para Baixo 9">
          <a:extLst>
            <a:ext uri="{FF2B5EF4-FFF2-40B4-BE49-F238E27FC236}">
              <a16:creationId xmlns:a16="http://schemas.microsoft.com/office/drawing/2014/main" id="{A2100997-42BD-45C5-8FD7-0AB26A950326}"/>
            </a:ext>
          </a:extLst>
        </xdr:cNvPr>
        <xdr:cNvSpPr/>
      </xdr:nvSpPr>
      <xdr:spPr>
        <a:xfrm>
          <a:off x="18400226" y="207477"/>
          <a:ext cx="183437" cy="13360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350832</xdr:colOff>
      <xdr:row>1</xdr:row>
      <xdr:rowOff>23327</xdr:rowOff>
    </xdr:from>
    <xdr:to>
      <xdr:col>25</xdr:col>
      <xdr:colOff>520959</xdr:colOff>
      <xdr:row>1</xdr:row>
      <xdr:rowOff>163286</xdr:rowOff>
    </xdr:to>
    <xdr:sp macro="" textlink="">
      <xdr:nvSpPr>
        <xdr:cNvPr id="11" name="Seta: para Cima 10">
          <a:extLst>
            <a:ext uri="{FF2B5EF4-FFF2-40B4-BE49-F238E27FC236}">
              <a16:creationId xmlns:a16="http://schemas.microsoft.com/office/drawing/2014/main" id="{3DAC6FA1-0AB8-4C27-BE30-D6A80102C8A1}"/>
            </a:ext>
          </a:extLst>
        </xdr:cNvPr>
        <xdr:cNvSpPr/>
      </xdr:nvSpPr>
      <xdr:spPr>
        <a:xfrm>
          <a:off x="19137307" y="207477"/>
          <a:ext cx="170127" cy="13360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536520</xdr:colOff>
      <xdr:row>13</xdr:row>
      <xdr:rowOff>108441</xdr:rowOff>
    </xdr:from>
    <xdr:to>
      <xdr:col>7</xdr:col>
      <xdr:colOff>544800</xdr:colOff>
      <xdr:row>13</xdr:row>
      <xdr:rowOff>105266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2" name="Tinta 11">
              <a:extLst>
                <a:ext uri="{FF2B5EF4-FFF2-40B4-BE49-F238E27FC236}">
                  <a16:creationId xmlns:a16="http://schemas.microsoft.com/office/drawing/2014/main" id="{3A315D1B-5F93-4630-87C6-ED5BAFF60388}"/>
                </a:ext>
              </a:extLst>
            </xdr14:cNvPr>
            <xdr14:cNvContentPartPr/>
          </xdr14:nvContentPartPr>
          <xdr14:nvPr macro=""/>
          <xdr14:xfrm>
            <a:off x="4727520" y="2534400"/>
            <a:ext cx="8280" cy="360"/>
          </xdr14:xfrm>
        </xdr:contentPart>
      </mc:Choice>
      <mc:Fallback xmlns="">
        <xdr:pic>
          <xdr:nvPicPr>
            <xdr:cNvPr id="19" name="Tinta 18">
              <a:extLst>
                <a:ext uri="{FF2B5EF4-FFF2-40B4-BE49-F238E27FC236}">
                  <a16:creationId xmlns:a16="http://schemas.microsoft.com/office/drawing/2014/main" id="{CE282E94-8AF9-70CF-566F-6367731FB82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721400" y="2528280"/>
              <a:ext cx="205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326341</xdr:colOff>
      <xdr:row>2</xdr:row>
      <xdr:rowOff>46536</xdr:rowOff>
    </xdr:from>
    <xdr:to>
      <xdr:col>27</xdr:col>
      <xdr:colOff>326701</xdr:colOff>
      <xdr:row>2</xdr:row>
      <xdr:rowOff>49711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3" name="Tinta 12">
              <a:extLst>
                <a:ext uri="{FF2B5EF4-FFF2-40B4-BE49-F238E27FC236}">
                  <a16:creationId xmlns:a16="http://schemas.microsoft.com/office/drawing/2014/main" id="{4B620A71-8F25-4040-960B-C04DAF94E20C}"/>
                </a:ext>
              </a:extLst>
            </xdr14:cNvPr>
            <xdr14:cNvContentPartPr/>
          </xdr14:nvContentPartPr>
          <xdr14:nvPr macro=""/>
          <xdr14:xfrm>
            <a:off x="15659647" y="419760"/>
            <a:ext cx="360" cy="360"/>
          </xdr14:xfrm>
        </xdr:contentPart>
      </mc:Choice>
      <mc:Fallback xmlns="">
        <xdr:pic>
          <xdr:nvPicPr>
            <xdr:cNvPr id="20" name="Tinta 19">
              <a:extLst>
                <a:ext uri="{FF2B5EF4-FFF2-40B4-BE49-F238E27FC236}">
                  <a16:creationId xmlns:a16="http://schemas.microsoft.com/office/drawing/2014/main" id="{6113B135-0D10-0765-DE08-A26A5DE73C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653527" y="413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29</xdr:col>
      <xdr:colOff>458754</xdr:colOff>
      <xdr:row>1</xdr:row>
      <xdr:rowOff>23327</xdr:rowOff>
    </xdr:from>
    <xdr:to>
      <xdr:col>29</xdr:col>
      <xdr:colOff>645366</xdr:colOff>
      <xdr:row>1</xdr:row>
      <xdr:rowOff>163286</xdr:rowOff>
    </xdr:to>
    <xdr:sp macro="" textlink="">
      <xdr:nvSpPr>
        <xdr:cNvPr id="14" name="Seta: para Baixo 13">
          <a:extLst>
            <a:ext uri="{FF2B5EF4-FFF2-40B4-BE49-F238E27FC236}">
              <a16:creationId xmlns:a16="http://schemas.microsoft.com/office/drawing/2014/main" id="{161D71E2-ECB2-46FE-BA34-CE013A898BE9}"/>
            </a:ext>
          </a:extLst>
        </xdr:cNvPr>
        <xdr:cNvSpPr/>
      </xdr:nvSpPr>
      <xdr:spPr>
        <a:xfrm>
          <a:off x="21994779" y="207477"/>
          <a:ext cx="186612" cy="13360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350832</xdr:colOff>
      <xdr:row>1</xdr:row>
      <xdr:rowOff>23327</xdr:rowOff>
    </xdr:from>
    <xdr:to>
      <xdr:col>30</xdr:col>
      <xdr:colOff>520959</xdr:colOff>
      <xdr:row>1</xdr:row>
      <xdr:rowOff>163286</xdr:rowOff>
    </xdr:to>
    <xdr:sp macro="" textlink="">
      <xdr:nvSpPr>
        <xdr:cNvPr id="15" name="Seta: para Cima 14">
          <a:extLst>
            <a:ext uri="{FF2B5EF4-FFF2-40B4-BE49-F238E27FC236}">
              <a16:creationId xmlns:a16="http://schemas.microsoft.com/office/drawing/2014/main" id="{8C8E484B-2349-4863-9DA5-DBAF0B8C20D6}"/>
            </a:ext>
          </a:extLst>
        </xdr:cNvPr>
        <xdr:cNvSpPr/>
      </xdr:nvSpPr>
      <xdr:spPr>
        <a:xfrm>
          <a:off x="22680607" y="207477"/>
          <a:ext cx="170127" cy="13360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419877</xdr:colOff>
      <xdr:row>1</xdr:row>
      <xdr:rowOff>23327</xdr:rowOff>
    </xdr:from>
    <xdr:to>
      <xdr:col>4</xdr:col>
      <xdr:colOff>606489</xdr:colOff>
      <xdr:row>1</xdr:row>
      <xdr:rowOff>163286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01A9985E-96DD-419F-A660-A672AF5B6FFF}"/>
            </a:ext>
          </a:extLst>
        </xdr:cNvPr>
        <xdr:cNvSpPr/>
      </xdr:nvSpPr>
      <xdr:spPr>
        <a:xfrm>
          <a:off x="4153677" y="206207"/>
          <a:ext cx="186612" cy="1399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350832</xdr:colOff>
      <xdr:row>1</xdr:row>
      <xdr:rowOff>23327</xdr:rowOff>
    </xdr:from>
    <xdr:to>
      <xdr:col>5</xdr:col>
      <xdr:colOff>520959</xdr:colOff>
      <xdr:row>1</xdr:row>
      <xdr:rowOff>163286</xdr:rowOff>
    </xdr:to>
    <xdr:sp macro="" textlink="">
      <xdr:nvSpPr>
        <xdr:cNvPr id="3" name="Seta: para Cima 2">
          <a:extLst>
            <a:ext uri="{FF2B5EF4-FFF2-40B4-BE49-F238E27FC236}">
              <a16:creationId xmlns:a16="http://schemas.microsoft.com/office/drawing/2014/main" id="{73A14DBF-56A6-41A1-A24D-B5442C7604D1}"/>
            </a:ext>
          </a:extLst>
        </xdr:cNvPr>
        <xdr:cNvSpPr/>
      </xdr:nvSpPr>
      <xdr:spPr>
        <a:xfrm>
          <a:off x="4892352" y="206207"/>
          <a:ext cx="170127" cy="13995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419877</xdr:colOff>
      <xdr:row>1</xdr:row>
      <xdr:rowOff>23327</xdr:rowOff>
    </xdr:from>
    <xdr:to>
      <xdr:col>9</xdr:col>
      <xdr:colOff>606489</xdr:colOff>
      <xdr:row>1</xdr:row>
      <xdr:rowOff>163286</xdr:rowOff>
    </xdr:to>
    <xdr:sp macro="" textlink="">
      <xdr:nvSpPr>
        <xdr:cNvPr id="4" name="Seta: para Baixo 3">
          <a:extLst>
            <a:ext uri="{FF2B5EF4-FFF2-40B4-BE49-F238E27FC236}">
              <a16:creationId xmlns:a16="http://schemas.microsoft.com/office/drawing/2014/main" id="{43CFCBFF-F32E-468D-82A1-772E3CBAB880}"/>
            </a:ext>
          </a:extLst>
        </xdr:cNvPr>
        <xdr:cNvSpPr/>
      </xdr:nvSpPr>
      <xdr:spPr>
        <a:xfrm>
          <a:off x="7735077" y="206207"/>
          <a:ext cx="186612" cy="1399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350832</xdr:colOff>
      <xdr:row>1</xdr:row>
      <xdr:rowOff>23327</xdr:rowOff>
    </xdr:from>
    <xdr:to>
      <xdr:col>10</xdr:col>
      <xdr:colOff>520959</xdr:colOff>
      <xdr:row>1</xdr:row>
      <xdr:rowOff>163286</xdr:rowOff>
    </xdr:to>
    <xdr:sp macro="" textlink="">
      <xdr:nvSpPr>
        <xdr:cNvPr id="5" name="Seta: para Cima 4">
          <a:extLst>
            <a:ext uri="{FF2B5EF4-FFF2-40B4-BE49-F238E27FC236}">
              <a16:creationId xmlns:a16="http://schemas.microsoft.com/office/drawing/2014/main" id="{0144C2CD-FBEF-473B-9D11-45CF1D68D519}"/>
            </a:ext>
          </a:extLst>
        </xdr:cNvPr>
        <xdr:cNvSpPr/>
      </xdr:nvSpPr>
      <xdr:spPr>
        <a:xfrm>
          <a:off x="8481372" y="206207"/>
          <a:ext cx="170127" cy="13995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419877</xdr:colOff>
      <xdr:row>1</xdr:row>
      <xdr:rowOff>23327</xdr:rowOff>
    </xdr:from>
    <xdr:to>
      <xdr:col>14</xdr:col>
      <xdr:colOff>606489</xdr:colOff>
      <xdr:row>1</xdr:row>
      <xdr:rowOff>163286</xdr:rowOff>
    </xdr:to>
    <xdr:sp macro="" textlink="">
      <xdr:nvSpPr>
        <xdr:cNvPr id="6" name="Seta: para Baixo 5">
          <a:extLst>
            <a:ext uri="{FF2B5EF4-FFF2-40B4-BE49-F238E27FC236}">
              <a16:creationId xmlns:a16="http://schemas.microsoft.com/office/drawing/2014/main" id="{F51134D1-043C-4557-A958-2C300A6B70D8}"/>
            </a:ext>
          </a:extLst>
        </xdr:cNvPr>
        <xdr:cNvSpPr/>
      </xdr:nvSpPr>
      <xdr:spPr>
        <a:xfrm>
          <a:off x="11118357" y="206207"/>
          <a:ext cx="186612" cy="1399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350832</xdr:colOff>
      <xdr:row>1</xdr:row>
      <xdr:rowOff>23327</xdr:rowOff>
    </xdr:from>
    <xdr:to>
      <xdr:col>15</xdr:col>
      <xdr:colOff>520959</xdr:colOff>
      <xdr:row>1</xdr:row>
      <xdr:rowOff>163286</xdr:rowOff>
    </xdr:to>
    <xdr:sp macro="" textlink="">
      <xdr:nvSpPr>
        <xdr:cNvPr id="7" name="Seta: para Cima 6">
          <a:extLst>
            <a:ext uri="{FF2B5EF4-FFF2-40B4-BE49-F238E27FC236}">
              <a16:creationId xmlns:a16="http://schemas.microsoft.com/office/drawing/2014/main" id="{F033AE57-CF02-4835-BE55-6F50FAC67004}"/>
            </a:ext>
          </a:extLst>
        </xdr:cNvPr>
        <xdr:cNvSpPr/>
      </xdr:nvSpPr>
      <xdr:spPr>
        <a:xfrm>
          <a:off x="11887512" y="206207"/>
          <a:ext cx="170127" cy="13995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419877</xdr:colOff>
      <xdr:row>1</xdr:row>
      <xdr:rowOff>23327</xdr:rowOff>
    </xdr:from>
    <xdr:to>
      <xdr:col>19</xdr:col>
      <xdr:colOff>606489</xdr:colOff>
      <xdr:row>1</xdr:row>
      <xdr:rowOff>163286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CECB0B3C-8C7E-4AB8-A982-C3441D68ED69}"/>
            </a:ext>
          </a:extLst>
        </xdr:cNvPr>
        <xdr:cNvSpPr/>
      </xdr:nvSpPr>
      <xdr:spPr>
        <a:xfrm>
          <a:off x="14570217" y="206207"/>
          <a:ext cx="186612" cy="1399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350832</xdr:colOff>
      <xdr:row>1</xdr:row>
      <xdr:rowOff>23327</xdr:rowOff>
    </xdr:from>
    <xdr:to>
      <xdr:col>20</xdr:col>
      <xdr:colOff>520959</xdr:colOff>
      <xdr:row>1</xdr:row>
      <xdr:rowOff>163286</xdr:rowOff>
    </xdr:to>
    <xdr:sp macro="" textlink="">
      <xdr:nvSpPr>
        <xdr:cNvPr id="9" name="Seta: para Cima 8">
          <a:extLst>
            <a:ext uri="{FF2B5EF4-FFF2-40B4-BE49-F238E27FC236}">
              <a16:creationId xmlns:a16="http://schemas.microsoft.com/office/drawing/2014/main" id="{9F9B81CA-CAF7-4C01-8ADA-92E33DF00F5B}"/>
            </a:ext>
          </a:extLst>
        </xdr:cNvPr>
        <xdr:cNvSpPr/>
      </xdr:nvSpPr>
      <xdr:spPr>
        <a:xfrm>
          <a:off x="15286032" y="206207"/>
          <a:ext cx="170127" cy="13995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419877</xdr:colOff>
      <xdr:row>1</xdr:row>
      <xdr:rowOff>23327</xdr:rowOff>
    </xdr:from>
    <xdr:to>
      <xdr:col>24</xdr:col>
      <xdr:colOff>606489</xdr:colOff>
      <xdr:row>1</xdr:row>
      <xdr:rowOff>163286</xdr:rowOff>
    </xdr:to>
    <xdr:sp macro="" textlink="">
      <xdr:nvSpPr>
        <xdr:cNvPr id="10" name="Seta: para Baixo 9">
          <a:extLst>
            <a:ext uri="{FF2B5EF4-FFF2-40B4-BE49-F238E27FC236}">
              <a16:creationId xmlns:a16="http://schemas.microsoft.com/office/drawing/2014/main" id="{0E6C4A3D-6A99-422F-A4C0-B1332C36534C}"/>
            </a:ext>
          </a:extLst>
        </xdr:cNvPr>
        <xdr:cNvSpPr/>
      </xdr:nvSpPr>
      <xdr:spPr>
        <a:xfrm>
          <a:off x="17961117" y="206207"/>
          <a:ext cx="186612" cy="1399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350832</xdr:colOff>
      <xdr:row>1</xdr:row>
      <xdr:rowOff>23327</xdr:rowOff>
    </xdr:from>
    <xdr:to>
      <xdr:col>25</xdr:col>
      <xdr:colOff>520959</xdr:colOff>
      <xdr:row>1</xdr:row>
      <xdr:rowOff>163286</xdr:rowOff>
    </xdr:to>
    <xdr:sp macro="" textlink="">
      <xdr:nvSpPr>
        <xdr:cNvPr id="11" name="Seta: para Cima 10">
          <a:extLst>
            <a:ext uri="{FF2B5EF4-FFF2-40B4-BE49-F238E27FC236}">
              <a16:creationId xmlns:a16="http://schemas.microsoft.com/office/drawing/2014/main" id="{8A36A258-9FB3-4099-9C33-3D5294C1B434}"/>
            </a:ext>
          </a:extLst>
        </xdr:cNvPr>
        <xdr:cNvSpPr/>
      </xdr:nvSpPr>
      <xdr:spPr>
        <a:xfrm>
          <a:off x="18661692" y="206207"/>
          <a:ext cx="170127" cy="13995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34</xdr:col>
      <xdr:colOff>419877</xdr:colOff>
      <xdr:row>1</xdr:row>
      <xdr:rowOff>23327</xdr:rowOff>
    </xdr:from>
    <xdr:to>
      <xdr:col>34</xdr:col>
      <xdr:colOff>606489</xdr:colOff>
      <xdr:row>1</xdr:row>
      <xdr:rowOff>163286</xdr:rowOff>
    </xdr:to>
    <xdr:sp macro="" textlink="">
      <xdr:nvSpPr>
        <xdr:cNvPr id="12" name="Seta: para Baixo 11">
          <a:extLst>
            <a:ext uri="{FF2B5EF4-FFF2-40B4-BE49-F238E27FC236}">
              <a16:creationId xmlns:a16="http://schemas.microsoft.com/office/drawing/2014/main" id="{14227172-4A8F-4209-AAA5-D626737E24FC}"/>
            </a:ext>
          </a:extLst>
        </xdr:cNvPr>
        <xdr:cNvSpPr/>
      </xdr:nvSpPr>
      <xdr:spPr>
        <a:xfrm>
          <a:off x="4153677" y="206207"/>
          <a:ext cx="186612" cy="1399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350832</xdr:colOff>
      <xdr:row>1</xdr:row>
      <xdr:rowOff>23327</xdr:rowOff>
    </xdr:from>
    <xdr:to>
      <xdr:col>35</xdr:col>
      <xdr:colOff>520959</xdr:colOff>
      <xdr:row>1</xdr:row>
      <xdr:rowOff>163286</xdr:rowOff>
    </xdr:to>
    <xdr:sp macro="" textlink="">
      <xdr:nvSpPr>
        <xdr:cNvPr id="13" name="Seta: para Cima 12">
          <a:extLst>
            <a:ext uri="{FF2B5EF4-FFF2-40B4-BE49-F238E27FC236}">
              <a16:creationId xmlns:a16="http://schemas.microsoft.com/office/drawing/2014/main" id="{9FFD74D1-33A6-41A0-8EDF-2DDEC932A0A1}"/>
            </a:ext>
          </a:extLst>
        </xdr:cNvPr>
        <xdr:cNvSpPr/>
      </xdr:nvSpPr>
      <xdr:spPr>
        <a:xfrm>
          <a:off x="4892352" y="206207"/>
          <a:ext cx="170127" cy="13995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419877</xdr:colOff>
      <xdr:row>1</xdr:row>
      <xdr:rowOff>23327</xdr:rowOff>
    </xdr:from>
    <xdr:to>
      <xdr:col>39</xdr:col>
      <xdr:colOff>606489</xdr:colOff>
      <xdr:row>1</xdr:row>
      <xdr:rowOff>163286</xdr:rowOff>
    </xdr:to>
    <xdr:sp macro="" textlink="">
      <xdr:nvSpPr>
        <xdr:cNvPr id="14" name="Seta: para Baixo 13">
          <a:extLst>
            <a:ext uri="{FF2B5EF4-FFF2-40B4-BE49-F238E27FC236}">
              <a16:creationId xmlns:a16="http://schemas.microsoft.com/office/drawing/2014/main" id="{12E92876-0538-4810-A1B4-293898E69A3D}"/>
            </a:ext>
          </a:extLst>
        </xdr:cNvPr>
        <xdr:cNvSpPr/>
      </xdr:nvSpPr>
      <xdr:spPr>
        <a:xfrm>
          <a:off x="7735077" y="206207"/>
          <a:ext cx="186612" cy="1399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40</xdr:col>
      <xdr:colOff>350832</xdr:colOff>
      <xdr:row>1</xdr:row>
      <xdr:rowOff>23327</xdr:rowOff>
    </xdr:from>
    <xdr:to>
      <xdr:col>40</xdr:col>
      <xdr:colOff>520959</xdr:colOff>
      <xdr:row>1</xdr:row>
      <xdr:rowOff>163286</xdr:rowOff>
    </xdr:to>
    <xdr:sp macro="" textlink="">
      <xdr:nvSpPr>
        <xdr:cNvPr id="15" name="Seta: para Cima 14">
          <a:extLst>
            <a:ext uri="{FF2B5EF4-FFF2-40B4-BE49-F238E27FC236}">
              <a16:creationId xmlns:a16="http://schemas.microsoft.com/office/drawing/2014/main" id="{EACFB054-254C-4656-A8C8-A4D160C39CEF}"/>
            </a:ext>
          </a:extLst>
        </xdr:cNvPr>
        <xdr:cNvSpPr/>
      </xdr:nvSpPr>
      <xdr:spPr>
        <a:xfrm>
          <a:off x="8481372" y="206207"/>
          <a:ext cx="170127" cy="13995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44</xdr:col>
      <xdr:colOff>419877</xdr:colOff>
      <xdr:row>1</xdr:row>
      <xdr:rowOff>23327</xdr:rowOff>
    </xdr:from>
    <xdr:to>
      <xdr:col>44</xdr:col>
      <xdr:colOff>606489</xdr:colOff>
      <xdr:row>1</xdr:row>
      <xdr:rowOff>163286</xdr:rowOff>
    </xdr:to>
    <xdr:sp macro="" textlink="">
      <xdr:nvSpPr>
        <xdr:cNvPr id="16" name="Seta: para Baixo 15">
          <a:extLst>
            <a:ext uri="{FF2B5EF4-FFF2-40B4-BE49-F238E27FC236}">
              <a16:creationId xmlns:a16="http://schemas.microsoft.com/office/drawing/2014/main" id="{8A6295DA-D437-4ED7-9A40-DABA10D98113}"/>
            </a:ext>
          </a:extLst>
        </xdr:cNvPr>
        <xdr:cNvSpPr/>
      </xdr:nvSpPr>
      <xdr:spPr>
        <a:xfrm>
          <a:off x="11118357" y="206207"/>
          <a:ext cx="186612" cy="1399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350832</xdr:colOff>
      <xdr:row>1</xdr:row>
      <xdr:rowOff>23327</xdr:rowOff>
    </xdr:from>
    <xdr:to>
      <xdr:col>45</xdr:col>
      <xdr:colOff>520959</xdr:colOff>
      <xdr:row>1</xdr:row>
      <xdr:rowOff>163286</xdr:rowOff>
    </xdr:to>
    <xdr:sp macro="" textlink="">
      <xdr:nvSpPr>
        <xdr:cNvPr id="17" name="Seta: para Cima 16">
          <a:extLst>
            <a:ext uri="{FF2B5EF4-FFF2-40B4-BE49-F238E27FC236}">
              <a16:creationId xmlns:a16="http://schemas.microsoft.com/office/drawing/2014/main" id="{B10E975F-7F5C-439C-8412-D3E29262070C}"/>
            </a:ext>
          </a:extLst>
        </xdr:cNvPr>
        <xdr:cNvSpPr/>
      </xdr:nvSpPr>
      <xdr:spPr>
        <a:xfrm>
          <a:off x="11887512" y="206207"/>
          <a:ext cx="170127" cy="13995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419877</xdr:colOff>
      <xdr:row>1</xdr:row>
      <xdr:rowOff>23327</xdr:rowOff>
    </xdr:from>
    <xdr:to>
      <xdr:col>49</xdr:col>
      <xdr:colOff>606489</xdr:colOff>
      <xdr:row>1</xdr:row>
      <xdr:rowOff>163286</xdr:rowOff>
    </xdr:to>
    <xdr:sp macro="" textlink="">
      <xdr:nvSpPr>
        <xdr:cNvPr id="18" name="Seta: para Baixo 17">
          <a:extLst>
            <a:ext uri="{FF2B5EF4-FFF2-40B4-BE49-F238E27FC236}">
              <a16:creationId xmlns:a16="http://schemas.microsoft.com/office/drawing/2014/main" id="{3A42CAE8-B490-4348-8673-229390ACDF90}"/>
            </a:ext>
          </a:extLst>
        </xdr:cNvPr>
        <xdr:cNvSpPr/>
      </xdr:nvSpPr>
      <xdr:spPr>
        <a:xfrm>
          <a:off x="14570217" y="206207"/>
          <a:ext cx="186612" cy="1399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50</xdr:col>
      <xdr:colOff>350832</xdr:colOff>
      <xdr:row>1</xdr:row>
      <xdr:rowOff>23327</xdr:rowOff>
    </xdr:from>
    <xdr:to>
      <xdr:col>50</xdr:col>
      <xdr:colOff>520959</xdr:colOff>
      <xdr:row>1</xdr:row>
      <xdr:rowOff>163286</xdr:rowOff>
    </xdr:to>
    <xdr:sp macro="" textlink="">
      <xdr:nvSpPr>
        <xdr:cNvPr id="19" name="Seta: para Cima 18">
          <a:extLst>
            <a:ext uri="{FF2B5EF4-FFF2-40B4-BE49-F238E27FC236}">
              <a16:creationId xmlns:a16="http://schemas.microsoft.com/office/drawing/2014/main" id="{EA40F679-6837-41F2-97AF-F864E19A08B3}"/>
            </a:ext>
          </a:extLst>
        </xdr:cNvPr>
        <xdr:cNvSpPr/>
      </xdr:nvSpPr>
      <xdr:spPr>
        <a:xfrm>
          <a:off x="15286032" y="206207"/>
          <a:ext cx="170127" cy="13995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54</xdr:col>
      <xdr:colOff>419877</xdr:colOff>
      <xdr:row>1</xdr:row>
      <xdr:rowOff>23327</xdr:rowOff>
    </xdr:from>
    <xdr:to>
      <xdr:col>54</xdr:col>
      <xdr:colOff>606489</xdr:colOff>
      <xdr:row>1</xdr:row>
      <xdr:rowOff>163286</xdr:rowOff>
    </xdr:to>
    <xdr:sp macro="" textlink="">
      <xdr:nvSpPr>
        <xdr:cNvPr id="20" name="Seta: para Baixo 19">
          <a:extLst>
            <a:ext uri="{FF2B5EF4-FFF2-40B4-BE49-F238E27FC236}">
              <a16:creationId xmlns:a16="http://schemas.microsoft.com/office/drawing/2014/main" id="{64908F75-CD9E-411D-88E2-B7A39E0F816A}"/>
            </a:ext>
          </a:extLst>
        </xdr:cNvPr>
        <xdr:cNvSpPr/>
      </xdr:nvSpPr>
      <xdr:spPr>
        <a:xfrm>
          <a:off x="17961117" y="206207"/>
          <a:ext cx="186612" cy="1399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55</xdr:col>
      <xdr:colOff>350832</xdr:colOff>
      <xdr:row>1</xdr:row>
      <xdr:rowOff>23327</xdr:rowOff>
    </xdr:from>
    <xdr:to>
      <xdr:col>55</xdr:col>
      <xdr:colOff>520959</xdr:colOff>
      <xdr:row>1</xdr:row>
      <xdr:rowOff>163286</xdr:rowOff>
    </xdr:to>
    <xdr:sp macro="" textlink="">
      <xdr:nvSpPr>
        <xdr:cNvPr id="21" name="Seta: para Cima 20">
          <a:extLst>
            <a:ext uri="{FF2B5EF4-FFF2-40B4-BE49-F238E27FC236}">
              <a16:creationId xmlns:a16="http://schemas.microsoft.com/office/drawing/2014/main" id="{67DB0EB4-154C-4E4F-80CD-28DE7D3202CB}"/>
            </a:ext>
          </a:extLst>
        </xdr:cNvPr>
        <xdr:cNvSpPr/>
      </xdr:nvSpPr>
      <xdr:spPr>
        <a:xfrm>
          <a:off x="18661692" y="206207"/>
          <a:ext cx="170127" cy="13995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2T18:11:14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2T18:11:19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14:21:02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14:21:02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ferreira@elopar.com.br" TargetMode="External"/><Relationship Id="rId13" Type="http://schemas.openxmlformats.org/officeDocument/2006/relationships/hyperlink" Target="mailto:janaina.villar@starg.com.br" TargetMode="External"/><Relationship Id="rId18" Type="http://schemas.openxmlformats.org/officeDocument/2006/relationships/hyperlink" Target="mailto:poliveira@intercement.com" TargetMode="External"/><Relationship Id="rId3" Type="http://schemas.openxmlformats.org/officeDocument/2006/relationships/hyperlink" Target="mailto:frederico.braga@tupy.com" TargetMode="External"/><Relationship Id="rId21" Type="http://schemas.openxmlformats.org/officeDocument/2006/relationships/hyperlink" Target="mailto:jeferson.m@bold.net" TargetMode="External"/><Relationship Id="rId7" Type="http://schemas.openxmlformats.org/officeDocument/2006/relationships/hyperlink" Target="mailto:rafael.fernandes@meta.com.br" TargetMode="External"/><Relationship Id="rId12" Type="http://schemas.openxmlformats.org/officeDocument/2006/relationships/hyperlink" Target="mailto:jeferson.m@bold.net" TargetMode="External"/><Relationship Id="rId17" Type="http://schemas.openxmlformats.org/officeDocument/2006/relationships/hyperlink" Target="mailto:marcus.carmo@skala.com.br" TargetMode="External"/><Relationship Id="rId2" Type="http://schemas.openxmlformats.org/officeDocument/2006/relationships/hyperlink" Target="mailto:ademir.oliveira@aurenenergia.com.br" TargetMode="External"/><Relationship Id="rId16" Type="http://schemas.openxmlformats.org/officeDocument/2006/relationships/hyperlink" Target="mailto:luciano.santos@funsejem.org.br" TargetMode="External"/><Relationship Id="rId20" Type="http://schemas.openxmlformats.org/officeDocument/2006/relationships/hyperlink" Target="mailto:rafael.nascimento@votorantim.com" TargetMode="External"/><Relationship Id="rId1" Type="http://schemas.openxmlformats.org/officeDocument/2006/relationships/hyperlink" Target="mailto:robson.menezes@nagem.com.br" TargetMode="External"/><Relationship Id="rId6" Type="http://schemas.openxmlformats.org/officeDocument/2006/relationships/hyperlink" Target="mailto:rafael.nascimento@votorantim.com" TargetMode="External"/><Relationship Id="rId11" Type="http://schemas.openxmlformats.org/officeDocument/2006/relationships/hyperlink" Target="mailto:felipetesser@tecnisa.com.br" TargetMode="External"/><Relationship Id="rId5" Type="http://schemas.openxmlformats.org/officeDocument/2006/relationships/hyperlink" Target="mailto:danillo.teixeira@ultracargo.com.br" TargetMode="External"/><Relationship Id="rId15" Type="http://schemas.openxmlformats.org/officeDocument/2006/relationships/hyperlink" Target="mailto:renato.varza@carglass.com.br" TargetMode="External"/><Relationship Id="rId10" Type="http://schemas.openxmlformats.org/officeDocument/2006/relationships/hyperlink" Target="mailto:lindemberg.figueiredodasilva@lmwindpower.com" TargetMode="External"/><Relationship Id="rId19" Type="http://schemas.openxmlformats.org/officeDocument/2006/relationships/hyperlink" Target="mailto:robson.menezes@nagem.com.br" TargetMode="External"/><Relationship Id="rId4" Type="http://schemas.openxmlformats.org/officeDocument/2006/relationships/hyperlink" Target="mailto:Tiago.borba@ciser.com.br" TargetMode="External"/><Relationship Id="rId9" Type="http://schemas.openxmlformats.org/officeDocument/2006/relationships/hyperlink" Target="mailto:adeliogonzaga@grupoacad.com.br" TargetMode="External"/><Relationship Id="rId14" Type="http://schemas.openxmlformats.org/officeDocument/2006/relationships/hyperlink" Target="mailto:luis.kapp@sinqia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06CA-921D-46E4-9617-16A2AB191BF9}">
  <dimension ref="A1:S55"/>
  <sheetViews>
    <sheetView workbookViewId="0">
      <selection activeCell="G54" sqref="G54"/>
    </sheetView>
  </sheetViews>
  <sheetFormatPr defaultRowHeight="14.5" x14ac:dyDescent="0.35"/>
  <cols>
    <col min="1" max="1" width="19.1796875" customWidth="1"/>
    <col min="2" max="2" width="24.453125" customWidth="1"/>
    <col min="3" max="4" width="14" customWidth="1"/>
    <col min="5" max="5" width="22.453125" customWidth="1"/>
    <col min="6" max="6" width="24.1796875" customWidth="1"/>
    <col min="7" max="7" width="22.1796875" customWidth="1"/>
    <col min="8" max="8" width="24.453125" customWidth="1"/>
    <col min="9" max="9" width="37.1796875" customWidth="1"/>
    <col min="10" max="10" width="16" style="9" customWidth="1"/>
    <col min="11" max="12" width="16" customWidth="1"/>
    <col min="13" max="15" width="13.7265625" customWidth="1"/>
    <col min="16" max="16" width="12.7265625" customWidth="1"/>
    <col min="17" max="17" width="19" customWidth="1"/>
    <col min="18" max="18" width="56.26953125" customWidth="1"/>
    <col min="19" max="19" width="29.26953125" customWidth="1"/>
  </cols>
  <sheetData>
    <row r="1" spans="1:19" ht="31.5" x14ac:dyDescent="0.35">
      <c r="A1" s="14" t="s">
        <v>0</v>
      </c>
      <c r="B1" s="14" t="s">
        <v>1</v>
      </c>
      <c r="C1" s="15" t="s">
        <v>2</v>
      </c>
      <c r="D1" s="15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72" t="s">
        <v>9</v>
      </c>
      <c r="K1" s="72" t="s">
        <v>10</v>
      </c>
      <c r="L1" s="72" t="s">
        <v>11</v>
      </c>
      <c r="M1" s="52" t="s">
        <v>12</v>
      </c>
      <c r="N1" s="52" t="s">
        <v>13</v>
      </c>
      <c r="O1" s="52" t="s">
        <v>14</v>
      </c>
      <c r="P1" s="74" t="s">
        <v>15</v>
      </c>
      <c r="Q1" s="15" t="s">
        <v>16</v>
      </c>
      <c r="R1" s="73" t="s">
        <v>17</v>
      </c>
      <c r="S1" s="49" t="s">
        <v>18</v>
      </c>
    </row>
    <row r="2" spans="1:19" x14ac:dyDescent="0.35">
      <c r="A2" s="6" t="s">
        <v>19</v>
      </c>
      <c r="B2" s="6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9">
        <v>46055</v>
      </c>
      <c r="K2" s="6" t="s">
        <v>28</v>
      </c>
      <c r="L2" s="6" t="s">
        <v>28</v>
      </c>
      <c r="M2" s="53" t="s">
        <v>29</v>
      </c>
      <c r="N2" s="54">
        <v>45726</v>
      </c>
      <c r="O2" s="55">
        <v>46822</v>
      </c>
      <c r="P2" s="56">
        <v>1020</v>
      </c>
      <c r="Q2" s="6"/>
      <c r="R2" s="7"/>
      <c r="S2" s="50" t="s">
        <v>30</v>
      </c>
    </row>
    <row r="3" spans="1:19" x14ac:dyDescent="0.35">
      <c r="A3" s="2" t="s">
        <v>31</v>
      </c>
      <c r="B3" s="2" t="s">
        <v>32</v>
      </c>
      <c r="C3" s="6" t="s">
        <v>21</v>
      </c>
      <c r="D3" s="6" t="s">
        <v>22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9">
        <v>45996</v>
      </c>
      <c r="K3" s="6" t="s">
        <v>28</v>
      </c>
      <c r="L3" s="6" t="s">
        <v>28</v>
      </c>
      <c r="M3" s="54">
        <v>45331</v>
      </c>
      <c r="N3" s="53" t="s">
        <v>38</v>
      </c>
      <c r="O3" s="57" t="s">
        <v>39</v>
      </c>
      <c r="P3" s="56">
        <v>1243.03</v>
      </c>
      <c r="Q3" s="6"/>
      <c r="R3" s="3"/>
      <c r="S3" s="50" t="s">
        <v>40</v>
      </c>
    </row>
    <row r="4" spans="1:19" x14ac:dyDescent="0.35">
      <c r="A4" s="6" t="s">
        <v>41</v>
      </c>
      <c r="B4" s="6" t="s">
        <v>42</v>
      </c>
      <c r="C4" s="6" t="s">
        <v>21</v>
      </c>
      <c r="D4" s="6" t="s">
        <v>22</v>
      </c>
      <c r="E4" s="6" t="s">
        <v>43</v>
      </c>
      <c r="F4" s="6" t="s">
        <v>24</v>
      </c>
      <c r="G4" s="6" t="s">
        <v>44</v>
      </c>
      <c r="H4" s="6" t="s">
        <v>45</v>
      </c>
      <c r="I4" s="6" t="s">
        <v>46</v>
      </c>
      <c r="J4" s="9">
        <v>45962</v>
      </c>
      <c r="K4" s="6" t="s">
        <v>28</v>
      </c>
      <c r="L4" s="6" t="s">
        <v>28</v>
      </c>
      <c r="M4" s="53" t="s">
        <v>47</v>
      </c>
      <c r="N4" s="53" t="s">
        <v>48</v>
      </c>
      <c r="O4" s="57" t="s">
        <v>49</v>
      </c>
      <c r="P4" s="56">
        <v>3834.15</v>
      </c>
      <c r="Q4" s="6"/>
      <c r="R4" s="7"/>
      <c r="S4" s="50" t="s">
        <v>50</v>
      </c>
    </row>
    <row r="5" spans="1:19" x14ac:dyDescent="0.35">
      <c r="A5" s="6" t="s">
        <v>51</v>
      </c>
      <c r="B5" s="6" t="s">
        <v>52</v>
      </c>
      <c r="C5" s="6" t="s">
        <v>21</v>
      </c>
      <c r="D5" s="6" t="s">
        <v>22</v>
      </c>
      <c r="E5" s="6" t="s">
        <v>53</v>
      </c>
      <c r="F5" s="6" t="s">
        <v>54</v>
      </c>
      <c r="G5" s="6" t="s">
        <v>55</v>
      </c>
      <c r="H5" s="6" t="s">
        <v>56</v>
      </c>
      <c r="I5" s="6" t="s">
        <v>57</v>
      </c>
      <c r="J5" s="9">
        <v>45992</v>
      </c>
      <c r="K5" s="6" t="s">
        <v>28</v>
      </c>
      <c r="L5" s="6" t="s">
        <v>28</v>
      </c>
      <c r="M5" s="53" t="s">
        <v>58</v>
      </c>
      <c r="N5" s="53" t="s">
        <v>59</v>
      </c>
      <c r="O5" s="57" t="s">
        <v>60</v>
      </c>
      <c r="P5" s="56">
        <v>11083.29</v>
      </c>
      <c r="Q5" s="6"/>
      <c r="R5" s="7"/>
      <c r="S5" s="50" t="s">
        <v>61</v>
      </c>
    </row>
    <row r="6" spans="1:19" x14ac:dyDescent="0.35">
      <c r="A6" s="6" t="s">
        <v>62</v>
      </c>
      <c r="B6" s="6" t="s">
        <v>63</v>
      </c>
      <c r="C6" s="6" t="s">
        <v>21</v>
      </c>
      <c r="D6" s="6" t="s">
        <v>22</v>
      </c>
      <c r="E6" s="6" t="s">
        <v>64</v>
      </c>
      <c r="F6" s="6" t="s">
        <v>65</v>
      </c>
      <c r="G6" s="2" t="s">
        <v>66</v>
      </c>
      <c r="H6" s="6" t="s">
        <v>67</v>
      </c>
      <c r="I6" s="6" t="s">
        <v>68</v>
      </c>
      <c r="J6" s="9">
        <v>46031</v>
      </c>
      <c r="K6" s="33" t="s">
        <v>69</v>
      </c>
      <c r="L6" s="6" t="s">
        <v>28</v>
      </c>
      <c r="M6" s="9"/>
      <c r="N6" s="9"/>
      <c r="O6" s="9"/>
      <c r="P6" s="6"/>
      <c r="Q6" s="6"/>
      <c r="R6" s="7" t="s">
        <v>70</v>
      </c>
      <c r="S6" s="50" t="s">
        <v>71</v>
      </c>
    </row>
    <row r="7" spans="1:19" x14ac:dyDescent="0.35">
      <c r="A7" s="6" t="s">
        <v>72</v>
      </c>
      <c r="B7" s="6" t="s">
        <v>73</v>
      </c>
      <c r="C7" s="6" t="s">
        <v>21</v>
      </c>
      <c r="D7" s="6" t="s">
        <v>22</v>
      </c>
      <c r="E7" s="6" t="s">
        <v>23</v>
      </c>
      <c r="F7" s="6" t="s">
        <v>74</v>
      </c>
      <c r="G7" s="6" t="s">
        <v>75</v>
      </c>
      <c r="H7" s="6" t="s">
        <v>76</v>
      </c>
      <c r="I7" s="6" t="s">
        <v>77</v>
      </c>
      <c r="J7" s="9">
        <v>46045</v>
      </c>
      <c r="K7" s="6" t="s">
        <v>28</v>
      </c>
      <c r="L7" s="33" t="s">
        <v>69</v>
      </c>
      <c r="M7" s="9" t="s">
        <v>78</v>
      </c>
      <c r="N7" s="9" t="s">
        <v>78</v>
      </c>
      <c r="O7" s="9" t="s">
        <v>78</v>
      </c>
      <c r="P7" s="9" t="s">
        <v>78</v>
      </c>
      <c r="Q7" s="6"/>
      <c r="R7" s="7"/>
      <c r="S7" s="50" t="s">
        <v>79</v>
      </c>
    </row>
    <row r="8" spans="1:19" x14ac:dyDescent="0.35">
      <c r="A8" s="2" t="s">
        <v>80</v>
      </c>
      <c r="B8" s="2" t="s">
        <v>81</v>
      </c>
      <c r="C8" s="6" t="s">
        <v>21</v>
      </c>
      <c r="D8" s="6" t="s">
        <v>22</v>
      </c>
      <c r="E8" s="2" t="s">
        <v>23</v>
      </c>
      <c r="F8" s="6" t="s">
        <v>74</v>
      </c>
      <c r="G8" s="2" t="s">
        <v>82</v>
      </c>
      <c r="H8" s="2" t="s">
        <v>83</v>
      </c>
      <c r="I8" s="2" t="s">
        <v>84</v>
      </c>
      <c r="J8" s="9">
        <v>46048</v>
      </c>
      <c r="K8" s="6" t="s">
        <v>28</v>
      </c>
      <c r="L8" s="6" t="s">
        <v>28</v>
      </c>
      <c r="M8" s="5"/>
      <c r="N8" s="5"/>
      <c r="O8" s="5"/>
      <c r="P8" s="2"/>
      <c r="Q8" s="6"/>
      <c r="R8" s="3"/>
      <c r="S8" s="50" t="s">
        <v>85</v>
      </c>
    </row>
    <row r="9" spans="1:19" x14ac:dyDescent="0.35">
      <c r="A9" s="2" t="s">
        <v>86</v>
      </c>
      <c r="B9" s="2" t="s">
        <v>87</v>
      </c>
      <c r="C9" s="6" t="s">
        <v>21</v>
      </c>
      <c r="D9" s="6" t="s">
        <v>22</v>
      </c>
      <c r="E9" s="2" t="s">
        <v>88</v>
      </c>
      <c r="F9" s="6" t="s">
        <v>74</v>
      </c>
      <c r="G9" s="2" t="s">
        <v>89</v>
      </c>
      <c r="H9" s="2"/>
      <c r="I9" s="2" t="s">
        <v>90</v>
      </c>
      <c r="J9" s="9">
        <v>45839</v>
      </c>
      <c r="K9" s="6" t="s">
        <v>28</v>
      </c>
      <c r="L9" s="6" t="s">
        <v>28</v>
      </c>
      <c r="M9" s="54">
        <v>45722</v>
      </c>
      <c r="N9" s="53"/>
      <c r="O9" s="67"/>
      <c r="P9" s="56">
        <v>1415.87</v>
      </c>
      <c r="Q9" s="6"/>
      <c r="R9" s="3"/>
      <c r="S9" s="50" t="s">
        <v>91</v>
      </c>
    </row>
    <row r="10" spans="1:19" s="4" customFormat="1" x14ac:dyDescent="0.35">
      <c r="A10" s="1" t="s">
        <v>92</v>
      </c>
      <c r="B10" s="1" t="s">
        <v>93</v>
      </c>
      <c r="C10" s="1" t="s">
        <v>21</v>
      </c>
      <c r="D10" s="6" t="s">
        <v>22</v>
      </c>
      <c r="E10" s="1" t="s">
        <v>94</v>
      </c>
      <c r="F10" s="6" t="s">
        <v>74</v>
      </c>
      <c r="G10" s="1" t="s">
        <v>95</v>
      </c>
      <c r="H10" s="1" t="s">
        <v>96</v>
      </c>
      <c r="I10" s="1" t="s">
        <v>97</v>
      </c>
      <c r="J10" s="9">
        <v>46048</v>
      </c>
      <c r="K10" s="6" t="s">
        <v>28</v>
      </c>
      <c r="L10" s="6" t="s">
        <v>28</v>
      </c>
      <c r="M10" s="53" t="s">
        <v>98</v>
      </c>
      <c r="N10" s="54">
        <v>45877</v>
      </c>
      <c r="O10" s="55">
        <v>46973</v>
      </c>
      <c r="P10" s="56">
        <v>3810</v>
      </c>
      <c r="Q10" s="6"/>
      <c r="R10" s="3"/>
      <c r="S10" s="50" t="s">
        <v>99</v>
      </c>
    </row>
    <row r="11" spans="1:19" x14ac:dyDescent="0.35">
      <c r="A11" s="1" t="s">
        <v>100</v>
      </c>
      <c r="B11" s="1" t="s">
        <v>101</v>
      </c>
      <c r="C11" s="1" t="s">
        <v>21</v>
      </c>
      <c r="D11" s="6" t="s">
        <v>22</v>
      </c>
      <c r="E11" s="1" t="s">
        <v>102</v>
      </c>
      <c r="F11" s="6" t="s">
        <v>74</v>
      </c>
      <c r="G11" s="1" t="s">
        <v>103</v>
      </c>
      <c r="H11" s="1" t="s">
        <v>104</v>
      </c>
      <c r="I11" s="1" t="s">
        <v>105</v>
      </c>
      <c r="J11" s="9">
        <v>46327</v>
      </c>
      <c r="K11" s="6" t="s">
        <v>28</v>
      </c>
      <c r="L11" s="6" t="s">
        <v>28</v>
      </c>
      <c r="M11" s="54">
        <v>45540</v>
      </c>
      <c r="N11" s="53" t="s">
        <v>106</v>
      </c>
      <c r="O11" s="58" t="s">
        <v>106</v>
      </c>
      <c r="P11" s="56">
        <v>2698.98</v>
      </c>
      <c r="Q11" s="6"/>
      <c r="R11" s="7"/>
      <c r="S11" s="50" t="s">
        <v>107</v>
      </c>
    </row>
    <row r="12" spans="1:19" x14ac:dyDescent="0.35">
      <c r="A12" s="1" t="s">
        <v>108</v>
      </c>
      <c r="B12" s="1" t="s">
        <v>109</v>
      </c>
      <c r="C12" s="1" t="s">
        <v>21</v>
      </c>
      <c r="D12" s="6" t="s">
        <v>22</v>
      </c>
      <c r="E12" s="1" t="s">
        <v>43</v>
      </c>
      <c r="F12" s="1" t="s">
        <v>110</v>
      </c>
      <c r="G12" s="1" t="s">
        <v>111</v>
      </c>
      <c r="H12" s="1" t="s">
        <v>112</v>
      </c>
      <c r="I12" s="1" t="s">
        <v>113</v>
      </c>
      <c r="J12" s="9">
        <v>45943</v>
      </c>
      <c r="K12" s="6" t="s">
        <v>28</v>
      </c>
      <c r="L12" s="33" t="s">
        <v>69</v>
      </c>
      <c r="M12" s="5"/>
      <c r="N12" s="5"/>
      <c r="O12" s="5"/>
      <c r="P12" s="2"/>
      <c r="Q12" s="6"/>
      <c r="R12" s="7" t="s">
        <v>114</v>
      </c>
      <c r="S12" s="50" t="s">
        <v>115</v>
      </c>
    </row>
    <row r="13" spans="1:19" x14ac:dyDescent="0.35">
      <c r="A13" s="6" t="s">
        <v>116</v>
      </c>
      <c r="B13" s="6" t="s">
        <v>117</v>
      </c>
      <c r="C13" s="6" t="s">
        <v>21</v>
      </c>
      <c r="D13" s="6" t="s">
        <v>22</v>
      </c>
      <c r="E13" s="6" t="s">
        <v>118</v>
      </c>
      <c r="F13" s="6" t="s">
        <v>119</v>
      </c>
      <c r="G13" s="6" t="s">
        <v>120</v>
      </c>
      <c r="H13" s="6" t="s">
        <v>121</v>
      </c>
      <c r="I13" s="6" t="s">
        <v>122</v>
      </c>
      <c r="J13" s="9">
        <v>46041</v>
      </c>
      <c r="K13" s="6" t="s">
        <v>28</v>
      </c>
      <c r="L13" s="33" t="s">
        <v>69</v>
      </c>
      <c r="M13" s="9"/>
      <c r="N13" s="9"/>
      <c r="O13" s="9"/>
      <c r="P13" s="6"/>
      <c r="Q13" s="6"/>
      <c r="R13" s="7" t="s">
        <v>123</v>
      </c>
      <c r="S13" s="50" t="s">
        <v>124</v>
      </c>
    </row>
    <row r="14" spans="1:19" x14ac:dyDescent="0.35">
      <c r="A14" s="6" t="s">
        <v>125</v>
      </c>
      <c r="B14" s="6" t="s">
        <v>126</v>
      </c>
      <c r="C14" s="6" t="s">
        <v>21</v>
      </c>
      <c r="D14" s="6" t="s">
        <v>22</v>
      </c>
      <c r="E14" s="6" t="s">
        <v>127</v>
      </c>
      <c r="F14" s="53" t="s">
        <v>128</v>
      </c>
      <c r="G14" s="6" t="s">
        <v>129</v>
      </c>
      <c r="H14" s="6" t="s">
        <v>130</v>
      </c>
      <c r="I14" s="6" t="s">
        <v>131</v>
      </c>
      <c r="J14" s="9">
        <v>46048</v>
      </c>
      <c r="K14" s="6" t="s">
        <v>28</v>
      </c>
      <c r="L14" s="6" t="s">
        <v>28</v>
      </c>
      <c r="M14" s="53" t="s">
        <v>132</v>
      </c>
      <c r="N14" s="53" t="s">
        <v>133</v>
      </c>
      <c r="O14" s="61" t="s">
        <v>134</v>
      </c>
      <c r="P14" s="62">
        <v>416.24</v>
      </c>
      <c r="Q14" s="6"/>
      <c r="R14" s="7"/>
      <c r="S14" s="50"/>
    </row>
    <row r="15" spans="1:19" x14ac:dyDescent="0.35">
      <c r="A15" s="6" t="s">
        <v>125</v>
      </c>
      <c r="B15" s="6" t="s">
        <v>126</v>
      </c>
      <c r="C15" s="6" t="s">
        <v>21</v>
      </c>
      <c r="D15" s="6" t="s">
        <v>22</v>
      </c>
      <c r="E15" s="6" t="s">
        <v>127</v>
      </c>
      <c r="F15" s="53" t="s">
        <v>135</v>
      </c>
      <c r="G15" s="6" t="s">
        <v>129</v>
      </c>
      <c r="H15" s="6" t="s">
        <v>130</v>
      </c>
      <c r="I15" s="6" t="s">
        <v>131</v>
      </c>
      <c r="J15" s="9">
        <v>46048</v>
      </c>
      <c r="K15" s="6" t="s">
        <v>28</v>
      </c>
      <c r="L15" s="6" t="s">
        <v>28</v>
      </c>
      <c r="M15" s="53" t="s">
        <v>136</v>
      </c>
      <c r="N15" s="54">
        <v>44813</v>
      </c>
      <c r="O15" s="63">
        <v>45909</v>
      </c>
      <c r="P15" s="62">
        <v>146.69999999999999</v>
      </c>
      <c r="Q15" s="6"/>
      <c r="R15" s="7"/>
      <c r="S15" s="50" t="s">
        <v>137</v>
      </c>
    </row>
    <row r="16" spans="1:19" x14ac:dyDescent="0.35">
      <c r="A16" s="6" t="s">
        <v>138</v>
      </c>
      <c r="B16" s="6" t="s">
        <v>139</v>
      </c>
      <c r="C16" s="6" t="s">
        <v>21</v>
      </c>
      <c r="D16" s="6" t="s">
        <v>22</v>
      </c>
      <c r="E16" s="6" t="s">
        <v>23</v>
      </c>
      <c r="F16" s="6" t="s">
        <v>140</v>
      </c>
      <c r="G16" s="6" t="s">
        <v>141</v>
      </c>
      <c r="H16" s="6" t="s">
        <v>142</v>
      </c>
      <c r="I16" s="6" t="s">
        <v>143</v>
      </c>
      <c r="J16" s="9">
        <v>46049</v>
      </c>
      <c r="K16" s="6" t="s">
        <v>28</v>
      </c>
      <c r="L16" s="6" t="s">
        <v>28</v>
      </c>
      <c r="M16" s="9" t="s">
        <v>144</v>
      </c>
      <c r="N16" s="9" t="s">
        <v>144</v>
      </c>
      <c r="O16" s="9" t="s">
        <v>144</v>
      </c>
      <c r="P16" s="9" t="s">
        <v>144</v>
      </c>
      <c r="Q16" s="6"/>
      <c r="R16" s="7"/>
      <c r="S16" s="50" t="s">
        <v>145</v>
      </c>
    </row>
    <row r="17" spans="1:19" ht="21" x14ac:dyDescent="0.35">
      <c r="A17" s="6" t="s">
        <v>146</v>
      </c>
      <c r="B17" s="12" t="s">
        <v>147</v>
      </c>
      <c r="C17" s="6" t="s">
        <v>21</v>
      </c>
      <c r="D17" s="6" t="s">
        <v>22</v>
      </c>
      <c r="E17" s="6" t="s">
        <v>148</v>
      </c>
      <c r="F17" s="6" t="s">
        <v>149</v>
      </c>
      <c r="G17" s="6" t="s">
        <v>150</v>
      </c>
      <c r="H17" s="6" t="s">
        <v>151</v>
      </c>
      <c r="I17" s="6" t="s">
        <v>152</v>
      </c>
      <c r="J17" s="9">
        <v>46048</v>
      </c>
      <c r="K17" s="6" t="s">
        <v>28</v>
      </c>
      <c r="L17" s="6" t="s">
        <v>28</v>
      </c>
      <c r="M17" s="9"/>
      <c r="N17" s="9"/>
      <c r="O17" s="9"/>
      <c r="P17" s="6"/>
      <c r="Q17" s="6"/>
      <c r="R17" s="7"/>
      <c r="S17" s="49" t="s">
        <v>153</v>
      </c>
    </row>
    <row r="18" spans="1:19" ht="21" x14ac:dyDescent="0.35">
      <c r="A18" s="6" t="s">
        <v>146</v>
      </c>
      <c r="B18" s="12" t="s">
        <v>147</v>
      </c>
      <c r="C18" s="6" t="s">
        <v>21</v>
      </c>
      <c r="D18" s="6" t="s">
        <v>22</v>
      </c>
      <c r="E18" s="6" t="s">
        <v>154</v>
      </c>
      <c r="F18" s="6" t="s">
        <v>155</v>
      </c>
      <c r="G18" s="6" t="s">
        <v>156</v>
      </c>
      <c r="H18" s="6" t="s">
        <v>157</v>
      </c>
      <c r="I18" s="6" t="s">
        <v>158</v>
      </c>
      <c r="J18" s="9">
        <v>46048</v>
      </c>
      <c r="K18" s="6" t="s">
        <v>28</v>
      </c>
      <c r="L18" s="6" t="s">
        <v>28</v>
      </c>
      <c r="M18" s="9"/>
      <c r="N18" s="9"/>
      <c r="O18" s="9"/>
      <c r="P18" s="6"/>
      <c r="Q18" s="6"/>
      <c r="R18" s="7"/>
      <c r="S18" s="50" t="s">
        <v>159</v>
      </c>
    </row>
    <row r="19" spans="1:19" ht="21" x14ac:dyDescent="0.35">
      <c r="A19" s="6" t="s">
        <v>146</v>
      </c>
      <c r="B19" s="12" t="s">
        <v>147</v>
      </c>
      <c r="C19" s="6" t="s">
        <v>21</v>
      </c>
      <c r="D19" s="6" t="s">
        <v>22</v>
      </c>
      <c r="E19" s="6" t="s">
        <v>148</v>
      </c>
      <c r="F19" s="6" t="s">
        <v>160</v>
      </c>
      <c r="G19" s="6" t="s">
        <v>161</v>
      </c>
      <c r="H19" s="6"/>
      <c r="I19" s="6" t="s">
        <v>162</v>
      </c>
      <c r="J19" s="9">
        <v>46048</v>
      </c>
      <c r="K19" s="6" t="s">
        <v>28</v>
      </c>
      <c r="L19" s="33" t="s">
        <v>69</v>
      </c>
      <c r="M19" s="9"/>
      <c r="N19" s="9"/>
      <c r="O19" s="9"/>
      <c r="P19" s="6"/>
      <c r="Q19" s="6"/>
      <c r="R19" s="7" t="s">
        <v>163</v>
      </c>
      <c r="S19" s="51" t="s">
        <v>164</v>
      </c>
    </row>
    <row r="20" spans="1:19" ht="22" x14ac:dyDescent="0.35">
      <c r="A20" s="6" t="s">
        <v>165</v>
      </c>
      <c r="B20" s="12" t="s">
        <v>166</v>
      </c>
      <c r="C20" s="6" t="s">
        <v>21</v>
      </c>
      <c r="D20" s="6" t="s">
        <v>22</v>
      </c>
      <c r="E20" s="6" t="s">
        <v>127</v>
      </c>
      <c r="F20" s="6" t="s">
        <v>74</v>
      </c>
      <c r="G20" s="6" t="s">
        <v>167</v>
      </c>
      <c r="H20" s="6" t="s">
        <v>168</v>
      </c>
      <c r="I20" s="6" t="s">
        <v>169</v>
      </c>
      <c r="J20" s="9">
        <v>46050</v>
      </c>
      <c r="K20" s="6" t="s">
        <v>28</v>
      </c>
      <c r="L20" s="53" t="s">
        <v>106</v>
      </c>
      <c r="M20" s="53" t="s">
        <v>170</v>
      </c>
      <c r="N20" s="60" t="s">
        <v>171</v>
      </c>
      <c r="O20" s="59" t="s">
        <v>106</v>
      </c>
      <c r="P20" s="6"/>
      <c r="Q20" s="6"/>
      <c r="R20" s="68" t="s">
        <v>172</v>
      </c>
      <c r="S20" s="51" t="s">
        <v>173</v>
      </c>
    </row>
    <row r="21" spans="1:19" x14ac:dyDescent="0.35">
      <c r="A21" s="2" t="s">
        <v>174</v>
      </c>
      <c r="B21" s="6" t="s">
        <v>175</v>
      </c>
      <c r="C21" s="6" t="s">
        <v>21</v>
      </c>
      <c r="D21" s="6" t="s">
        <v>22</v>
      </c>
      <c r="E21" s="2" t="s">
        <v>127</v>
      </c>
      <c r="F21" s="2" t="s">
        <v>176</v>
      </c>
      <c r="G21" s="2" t="s">
        <v>177</v>
      </c>
      <c r="H21" s="2" t="s">
        <v>178</v>
      </c>
      <c r="I21" s="2" t="s">
        <v>179</v>
      </c>
      <c r="J21" s="9">
        <v>46044</v>
      </c>
      <c r="K21" s="6" t="s">
        <v>28</v>
      </c>
      <c r="L21" s="6" t="s">
        <v>28</v>
      </c>
      <c r="M21" s="53" t="s">
        <v>106</v>
      </c>
      <c r="N21" s="53" t="s">
        <v>106</v>
      </c>
      <c r="O21" s="57" t="s">
        <v>106</v>
      </c>
      <c r="P21" s="56">
        <v>16534.34</v>
      </c>
      <c r="Q21" s="6"/>
      <c r="R21" s="3"/>
      <c r="S21" s="51" t="s">
        <v>180</v>
      </c>
    </row>
    <row r="22" spans="1:19" x14ac:dyDescent="0.35">
      <c r="A22" s="6" t="s">
        <v>181</v>
      </c>
      <c r="B22" s="6" t="s">
        <v>182</v>
      </c>
      <c r="C22" s="6" t="s">
        <v>21</v>
      </c>
      <c r="D22" s="6" t="s">
        <v>22</v>
      </c>
      <c r="E22" s="6" t="s">
        <v>183</v>
      </c>
      <c r="F22" s="6" t="s">
        <v>184</v>
      </c>
      <c r="G22" s="6" t="s">
        <v>185</v>
      </c>
      <c r="H22" s="6"/>
      <c r="I22" s="6" t="s">
        <v>186</v>
      </c>
      <c r="J22" s="9">
        <v>46049</v>
      </c>
      <c r="K22" s="33" t="s">
        <v>69</v>
      </c>
      <c r="L22" s="6" t="s">
        <v>28</v>
      </c>
      <c r="M22" s="53" t="s">
        <v>106</v>
      </c>
      <c r="N22" s="53" t="s">
        <v>106</v>
      </c>
      <c r="O22" s="57" t="s">
        <v>106</v>
      </c>
      <c r="P22" s="56">
        <v>13252.25</v>
      </c>
      <c r="Q22" s="6"/>
      <c r="R22" s="7" t="s">
        <v>187</v>
      </c>
      <c r="S22" s="51" t="s">
        <v>188</v>
      </c>
    </row>
    <row r="23" spans="1:19" x14ac:dyDescent="0.35">
      <c r="A23" s="6" t="s">
        <v>181</v>
      </c>
      <c r="B23" s="6" t="s">
        <v>182</v>
      </c>
      <c r="C23" s="6" t="s">
        <v>21</v>
      </c>
      <c r="D23" s="6" t="s">
        <v>22</v>
      </c>
      <c r="E23" s="6" t="s">
        <v>183</v>
      </c>
      <c r="F23" s="6" t="s">
        <v>189</v>
      </c>
      <c r="G23" s="6" t="s">
        <v>185</v>
      </c>
      <c r="H23" s="6"/>
      <c r="I23" s="6" t="s">
        <v>186</v>
      </c>
      <c r="K23" s="33"/>
      <c r="L23" s="6"/>
      <c r="M23" s="53" t="s">
        <v>106</v>
      </c>
      <c r="N23" s="53" t="s">
        <v>190</v>
      </c>
      <c r="O23" s="57" t="s">
        <v>191</v>
      </c>
      <c r="P23" s="56">
        <v>1058.18</v>
      </c>
      <c r="Q23" s="6"/>
      <c r="R23" s="7"/>
      <c r="S23" s="51"/>
    </row>
    <row r="24" spans="1:19" x14ac:dyDescent="0.35">
      <c r="A24" s="6" t="s">
        <v>192</v>
      </c>
      <c r="B24" s="6" t="s">
        <v>182</v>
      </c>
      <c r="C24" s="6" t="s">
        <v>21</v>
      </c>
      <c r="D24" s="6" t="s">
        <v>22</v>
      </c>
      <c r="E24" s="6" t="s">
        <v>154</v>
      </c>
      <c r="F24" s="6" t="s">
        <v>193</v>
      </c>
      <c r="G24" s="6" t="s">
        <v>194</v>
      </c>
      <c r="H24" s="6" t="s">
        <v>195</v>
      </c>
      <c r="I24" s="10" t="s">
        <v>196</v>
      </c>
      <c r="J24" s="9">
        <v>45748</v>
      </c>
      <c r="K24" s="6" t="s">
        <v>28</v>
      </c>
      <c r="L24" s="6" t="s">
        <v>28</v>
      </c>
      <c r="M24" s="11"/>
      <c r="N24" s="71">
        <v>45027</v>
      </c>
      <c r="O24" s="71">
        <v>46123</v>
      </c>
      <c r="P24" s="70">
        <v>4203.26</v>
      </c>
      <c r="Q24" s="6"/>
      <c r="R24" s="7"/>
      <c r="S24" s="17"/>
    </row>
    <row r="25" spans="1:19" x14ac:dyDescent="0.35">
      <c r="A25" s="6" t="s">
        <v>192</v>
      </c>
      <c r="B25" s="6" t="s">
        <v>182</v>
      </c>
      <c r="C25" s="6" t="s">
        <v>21</v>
      </c>
      <c r="D25" s="6" t="s">
        <v>22</v>
      </c>
      <c r="E25" s="6" t="s">
        <v>197</v>
      </c>
      <c r="F25" s="6" t="s">
        <v>198</v>
      </c>
      <c r="G25" s="6" t="s">
        <v>199</v>
      </c>
      <c r="H25" s="6" t="s">
        <v>200</v>
      </c>
      <c r="I25" s="10" t="s">
        <v>201</v>
      </c>
      <c r="J25" s="9">
        <v>45931</v>
      </c>
      <c r="K25" s="6" t="s">
        <v>28</v>
      </c>
      <c r="L25" s="6" t="s">
        <v>28</v>
      </c>
      <c r="M25" s="53" t="s">
        <v>106</v>
      </c>
      <c r="N25" s="53" t="s">
        <v>106</v>
      </c>
      <c r="O25" s="57" t="s">
        <v>106</v>
      </c>
      <c r="P25" s="56">
        <v>13017.45</v>
      </c>
      <c r="Q25" s="6"/>
      <c r="R25" s="7"/>
      <c r="S25" s="17"/>
    </row>
    <row r="26" spans="1:19" x14ac:dyDescent="0.35">
      <c r="A26" s="6" t="s">
        <v>202</v>
      </c>
      <c r="B26" s="6" t="s">
        <v>203</v>
      </c>
      <c r="C26" s="6" t="s">
        <v>21</v>
      </c>
      <c r="D26" s="6" t="s">
        <v>22</v>
      </c>
      <c r="E26" s="6" t="s">
        <v>154</v>
      </c>
      <c r="F26" s="6" t="s">
        <v>204</v>
      </c>
      <c r="G26" s="6" t="s">
        <v>205</v>
      </c>
      <c r="H26" s="6" t="s">
        <v>206</v>
      </c>
      <c r="I26" s="2" t="s">
        <v>207</v>
      </c>
      <c r="J26" s="9">
        <v>45809</v>
      </c>
      <c r="K26" s="33" t="s">
        <v>69</v>
      </c>
      <c r="L26" s="33" t="s">
        <v>69</v>
      </c>
      <c r="M26" s="64">
        <v>45145</v>
      </c>
      <c r="N26" s="64">
        <v>45145</v>
      </c>
      <c r="O26" s="64">
        <v>46241</v>
      </c>
      <c r="P26" s="65">
        <v>4848.97</v>
      </c>
      <c r="Q26" s="6"/>
      <c r="R26" s="7" t="s">
        <v>208</v>
      </c>
      <c r="S26" s="17"/>
    </row>
    <row r="27" spans="1:19" x14ac:dyDescent="0.35">
      <c r="A27" s="6" t="s">
        <v>209</v>
      </c>
      <c r="B27" s="6" t="s">
        <v>210</v>
      </c>
      <c r="C27" s="6" t="s">
        <v>211</v>
      </c>
      <c r="D27" s="6" t="s">
        <v>22</v>
      </c>
      <c r="E27" s="6" t="s">
        <v>212</v>
      </c>
      <c r="F27" s="6" t="s">
        <v>213</v>
      </c>
      <c r="G27" s="6" t="s">
        <v>214</v>
      </c>
      <c r="H27" s="6" t="s">
        <v>215</v>
      </c>
      <c r="I27" s="6" t="s">
        <v>216</v>
      </c>
      <c r="J27" s="9">
        <v>46044</v>
      </c>
      <c r="K27" s="6" t="s">
        <v>28</v>
      </c>
      <c r="L27" s="6" t="s">
        <v>28</v>
      </c>
      <c r="M27" s="9"/>
      <c r="N27" s="9"/>
      <c r="O27" s="9"/>
      <c r="P27" s="6"/>
      <c r="Q27" s="6"/>
      <c r="R27" s="7"/>
      <c r="S27" s="17"/>
    </row>
    <row r="28" spans="1:19" x14ac:dyDescent="0.35">
      <c r="A28" s="6" t="s">
        <v>217</v>
      </c>
      <c r="B28" s="6" t="s">
        <v>218</v>
      </c>
      <c r="C28" s="6" t="s">
        <v>211</v>
      </c>
      <c r="D28" s="6" t="s">
        <v>22</v>
      </c>
      <c r="E28" s="6" t="s">
        <v>219</v>
      </c>
      <c r="F28" s="53" t="s">
        <v>220</v>
      </c>
      <c r="G28" s="6" t="s">
        <v>221</v>
      </c>
      <c r="H28" s="6" t="s">
        <v>222</v>
      </c>
      <c r="I28" s="6" t="s">
        <v>223</v>
      </c>
      <c r="J28" s="9">
        <v>46007</v>
      </c>
      <c r="K28" s="6" t="s">
        <v>28</v>
      </c>
      <c r="L28" s="6" t="s">
        <v>28</v>
      </c>
      <c r="M28" s="54">
        <v>45424</v>
      </c>
      <c r="N28" s="53" t="s">
        <v>224</v>
      </c>
      <c r="O28" s="57" t="s">
        <v>225</v>
      </c>
      <c r="P28" s="56">
        <v>533.97</v>
      </c>
      <c r="Q28" s="6"/>
      <c r="R28" s="7"/>
      <c r="S28" s="17"/>
    </row>
    <row r="29" spans="1:19" x14ac:dyDescent="0.35">
      <c r="A29" s="6" t="s">
        <v>217</v>
      </c>
      <c r="B29" s="6" t="s">
        <v>218</v>
      </c>
      <c r="C29" s="6" t="s">
        <v>211</v>
      </c>
      <c r="D29" s="6" t="s">
        <v>22</v>
      </c>
      <c r="E29" s="6" t="s">
        <v>219</v>
      </c>
      <c r="F29" s="53" t="s">
        <v>226</v>
      </c>
      <c r="G29" s="6" t="s">
        <v>221</v>
      </c>
      <c r="H29" s="6" t="s">
        <v>227</v>
      </c>
      <c r="I29" s="6" t="s">
        <v>223</v>
      </c>
      <c r="J29" s="9">
        <v>46007</v>
      </c>
      <c r="K29" s="6" t="s">
        <v>28</v>
      </c>
      <c r="L29" s="6" t="s">
        <v>28</v>
      </c>
      <c r="M29" s="53" t="s">
        <v>228</v>
      </c>
      <c r="N29" s="54">
        <v>45840</v>
      </c>
      <c r="O29" s="55">
        <v>46936</v>
      </c>
      <c r="P29" s="56">
        <v>713.3</v>
      </c>
      <c r="Q29" s="6"/>
      <c r="R29" s="7"/>
      <c r="S29" s="17"/>
    </row>
    <row r="30" spans="1:19" x14ac:dyDescent="0.35">
      <c r="A30" s="6" t="s">
        <v>217</v>
      </c>
      <c r="B30" s="6" t="s">
        <v>218</v>
      </c>
      <c r="C30" s="6" t="s">
        <v>211</v>
      </c>
      <c r="D30" s="6" t="s">
        <v>22</v>
      </c>
      <c r="E30" s="6" t="s">
        <v>219</v>
      </c>
      <c r="F30" s="53" t="s">
        <v>229</v>
      </c>
      <c r="G30" s="6" t="s">
        <v>221</v>
      </c>
      <c r="H30" s="6" t="s">
        <v>230</v>
      </c>
      <c r="I30" s="6" t="s">
        <v>223</v>
      </c>
      <c r="J30" s="9">
        <v>46007</v>
      </c>
      <c r="K30" s="6" t="s">
        <v>28</v>
      </c>
      <c r="L30" s="6" t="s">
        <v>28</v>
      </c>
      <c r="M30" s="54">
        <v>45298</v>
      </c>
      <c r="N30" s="53" t="s">
        <v>224</v>
      </c>
      <c r="O30" s="57" t="s">
        <v>225</v>
      </c>
      <c r="P30" s="56">
        <v>296.64999999999998</v>
      </c>
      <c r="Q30" s="6"/>
      <c r="R30" s="7"/>
      <c r="S30" s="17"/>
    </row>
    <row r="31" spans="1:19" ht="21" x14ac:dyDescent="0.35">
      <c r="A31" s="6" t="s">
        <v>231</v>
      </c>
      <c r="B31" s="12" t="s">
        <v>232</v>
      </c>
      <c r="C31" s="6" t="s">
        <v>211</v>
      </c>
      <c r="D31" s="6" t="s">
        <v>22</v>
      </c>
      <c r="E31" s="6" t="s">
        <v>43</v>
      </c>
      <c r="F31" s="6" t="s">
        <v>110</v>
      </c>
      <c r="G31" s="6" t="s">
        <v>233</v>
      </c>
      <c r="H31" s="6" t="s">
        <v>234</v>
      </c>
      <c r="I31" s="6" t="s">
        <v>235</v>
      </c>
      <c r="J31" s="9">
        <v>45990</v>
      </c>
      <c r="K31" s="6" t="s">
        <v>28</v>
      </c>
      <c r="L31" s="6" t="s">
        <v>28</v>
      </c>
      <c r="M31" s="9"/>
      <c r="N31" s="9"/>
      <c r="O31" s="9"/>
      <c r="P31" s="6"/>
      <c r="Q31" s="6"/>
      <c r="R31" s="7"/>
      <c r="S31" s="17"/>
    </row>
    <row r="32" spans="1:19" x14ac:dyDescent="0.35">
      <c r="A32" s="6" t="s">
        <v>236</v>
      </c>
      <c r="B32" s="6" t="s">
        <v>237</v>
      </c>
      <c r="C32" s="6" t="s">
        <v>211</v>
      </c>
      <c r="D32" s="6" t="s">
        <v>22</v>
      </c>
      <c r="E32" s="6" t="s">
        <v>238</v>
      </c>
      <c r="F32" s="6" t="s">
        <v>54</v>
      </c>
      <c r="G32" s="6" t="s">
        <v>239</v>
      </c>
      <c r="H32" s="6"/>
      <c r="I32" s="6" t="s">
        <v>240</v>
      </c>
      <c r="J32" s="9">
        <v>46045</v>
      </c>
      <c r="K32" s="6" t="s">
        <v>28</v>
      </c>
      <c r="L32" s="6" t="s">
        <v>28</v>
      </c>
      <c r="M32" s="9"/>
      <c r="N32" s="9"/>
      <c r="O32" s="9"/>
      <c r="P32" s="6"/>
      <c r="Q32" s="6"/>
      <c r="R32" s="7"/>
      <c r="S32" s="17"/>
    </row>
    <row r="33" spans="1:19" x14ac:dyDescent="0.35">
      <c r="A33" s="6" t="s">
        <v>241</v>
      </c>
      <c r="B33" s="6" t="s">
        <v>242</v>
      </c>
      <c r="C33" s="6" t="s">
        <v>211</v>
      </c>
      <c r="D33" s="6" t="s">
        <v>22</v>
      </c>
      <c r="E33" s="6" t="s">
        <v>43</v>
      </c>
      <c r="F33" s="6" t="s">
        <v>110</v>
      </c>
      <c r="G33" s="6" t="s">
        <v>243</v>
      </c>
      <c r="H33" s="6" t="s">
        <v>244</v>
      </c>
      <c r="I33" s="6" t="s">
        <v>245</v>
      </c>
      <c r="J33" s="9">
        <v>46014</v>
      </c>
      <c r="K33" s="33" t="s">
        <v>69</v>
      </c>
      <c r="L33" s="33" t="s">
        <v>69</v>
      </c>
      <c r="M33" s="53" t="s">
        <v>246</v>
      </c>
      <c r="N33" s="54">
        <v>43992</v>
      </c>
      <c r="O33" s="55">
        <v>45087</v>
      </c>
      <c r="P33" s="56">
        <v>6615.5</v>
      </c>
      <c r="Q33" s="6"/>
      <c r="R33" s="7" t="s">
        <v>247</v>
      </c>
      <c r="S33" s="17"/>
    </row>
    <row r="34" spans="1:19" x14ac:dyDescent="0.35">
      <c r="A34" s="6" t="s">
        <v>241</v>
      </c>
      <c r="B34" s="6" t="s">
        <v>242</v>
      </c>
      <c r="C34" s="6" t="s">
        <v>211</v>
      </c>
      <c r="D34" s="6" t="s">
        <v>22</v>
      </c>
      <c r="E34" s="6" t="s">
        <v>43</v>
      </c>
      <c r="F34" s="6" t="s">
        <v>110</v>
      </c>
      <c r="G34" s="6" t="s">
        <v>243</v>
      </c>
      <c r="H34" s="6" t="s">
        <v>244</v>
      </c>
      <c r="I34" s="6" t="s">
        <v>245</v>
      </c>
      <c r="J34" s="9">
        <v>46014</v>
      </c>
      <c r="K34" s="33" t="s">
        <v>69</v>
      </c>
      <c r="L34" s="33" t="s">
        <v>69</v>
      </c>
      <c r="M34" s="53"/>
      <c r="N34" s="54">
        <v>43957</v>
      </c>
      <c r="O34" s="55">
        <v>45052</v>
      </c>
      <c r="P34" s="56">
        <v>1242.6600000000001</v>
      </c>
      <c r="Q34" s="6"/>
      <c r="R34" s="7" t="s">
        <v>247</v>
      </c>
      <c r="S34" s="17"/>
    </row>
    <row r="35" spans="1:19" x14ac:dyDescent="0.35">
      <c r="A35" s="6" t="s">
        <v>248</v>
      </c>
      <c r="B35" s="6" t="s">
        <v>249</v>
      </c>
      <c r="C35" s="6" t="s">
        <v>211</v>
      </c>
      <c r="D35" s="6" t="s">
        <v>22</v>
      </c>
      <c r="E35" s="6" t="s">
        <v>43</v>
      </c>
      <c r="F35" s="6" t="s">
        <v>110</v>
      </c>
      <c r="G35" s="6" t="s">
        <v>250</v>
      </c>
      <c r="H35" s="6" t="s">
        <v>251</v>
      </c>
      <c r="I35" s="6" t="s">
        <v>245</v>
      </c>
      <c r="J35" s="9">
        <v>46014</v>
      </c>
      <c r="K35" s="33" t="s">
        <v>69</v>
      </c>
      <c r="L35" s="33" t="s">
        <v>69</v>
      </c>
      <c r="M35" s="53" t="s">
        <v>252</v>
      </c>
      <c r="N35" s="53"/>
      <c r="O35" s="61"/>
      <c r="P35" s="56">
        <v>6366.75</v>
      </c>
      <c r="Q35" s="6"/>
      <c r="R35" s="7" t="s">
        <v>247</v>
      </c>
      <c r="S35" s="17"/>
    </row>
    <row r="36" spans="1:19" x14ac:dyDescent="0.35">
      <c r="A36" s="6" t="s">
        <v>248</v>
      </c>
      <c r="B36" s="6" t="s">
        <v>249</v>
      </c>
      <c r="C36" s="6" t="s">
        <v>211</v>
      </c>
      <c r="D36" s="6" t="s">
        <v>22</v>
      </c>
      <c r="E36" s="6" t="s">
        <v>43</v>
      </c>
      <c r="F36" s="6" t="s">
        <v>110</v>
      </c>
      <c r="G36" s="6" t="s">
        <v>250</v>
      </c>
      <c r="H36" s="6" t="s">
        <v>251</v>
      </c>
      <c r="I36" s="6" t="s">
        <v>245</v>
      </c>
      <c r="J36" s="9">
        <v>46014</v>
      </c>
      <c r="K36" s="33" t="s">
        <v>69</v>
      </c>
      <c r="L36" s="33" t="s">
        <v>69</v>
      </c>
      <c r="M36" s="53"/>
      <c r="N36" s="53"/>
      <c r="O36" s="61"/>
      <c r="P36" s="56">
        <v>1268.5999999999999</v>
      </c>
      <c r="Q36" s="6"/>
      <c r="R36" s="7" t="s">
        <v>247</v>
      </c>
      <c r="S36" s="17"/>
    </row>
    <row r="37" spans="1:19" ht="22" x14ac:dyDescent="0.35">
      <c r="A37" s="6" t="s">
        <v>253</v>
      </c>
      <c r="B37" s="6" t="s">
        <v>175</v>
      </c>
      <c r="C37" s="6" t="s">
        <v>211</v>
      </c>
      <c r="D37" s="6" t="s">
        <v>22</v>
      </c>
      <c r="E37" s="6" t="s">
        <v>219</v>
      </c>
      <c r="F37" s="6" t="s">
        <v>110</v>
      </c>
      <c r="G37" s="6" t="s">
        <v>254</v>
      </c>
      <c r="H37" s="6" t="s">
        <v>255</v>
      </c>
      <c r="I37" s="6" t="s">
        <v>256</v>
      </c>
      <c r="J37" s="9">
        <v>45989</v>
      </c>
      <c r="K37" s="6" t="s">
        <v>28</v>
      </c>
      <c r="L37" s="6" t="s">
        <v>28</v>
      </c>
      <c r="M37" s="53" t="s">
        <v>106</v>
      </c>
      <c r="N37" s="54">
        <v>44048</v>
      </c>
      <c r="O37" s="55">
        <v>45143</v>
      </c>
      <c r="P37" s="56">
        <v>10703.98</v>
      </c>
      <c r="Q37" s="59"/>
      <c r="R37" s="69" t="s">
        <v>257</v>
      </c>
      <c r="S37" s="17"/>
    </row>
    <row r="38" spans="1:19" ht="21" x14ac:dyDescent="0.35">
      <c r="A38" s="6" t="s">
        <v>258</v>
      </c>
      <c r="B38" s="6" t="s">
        <v>259</v>
      </c>
      <c r="C38" s="6" t="s">
        <v>211</v>
      </c>
      <c r="D38" s="6" t="s">
        <v>22</v>
      </c>
      <c r="E38" s="6" t="s">
        <v>219</v>
      </c>
      <c r="F38" s="12" t="s">
        <v>260</v>
      </c>
      <c r="G38" s="12" t="s">
        <v>261</v>
      </c>
      <c r="H38" s="6" t="s">
        <v>262</v>
      </c>
      <c r="I38" s="6" t="s">
        <v>263</v>
      </c>
      <c r="J38" s="9">
        <v>45952</v>
      </c>
      <c r="K38" s="33" t="s">
        <v>69</v>
      </c>
      <c r="L38" s="6" t="s">
        <v>28</v>
      </c>
      <c r="M38" s="9"/>
      <c r="N38" s="9"/>
      <c r="O38" s="9"/>
      <c r="P38" s="6"/>
      <c r="Q38" s="6"/>
      <c r="R38" s="7" t="s">
        <v>264</v>
      </c>
      <c r="S38" s="17"/>
    </row>
    <row r="39" spans="1:19" x14ac:dyDescent="0.35">
      <c r="A39" s="6" t="s">
        <v>265</v>
      </c>
      <c r="B39" s="6" t="s">
        <v>266</v>
      </c>
      <c r="C39" s="6" t="s">
        <v>211</v>
      </c>
      <c r="D39" s="6" t="s">
        <v>22</v>
      </c>
      <c r="E39" s="6" t="s">
        <v>267</v>
      </c>
      <c r="F39" s="6" t="s">
        <v>268</v>
      </c>
      <c r="G39" s="6" t="s">
        <v>269</v>
      </c>
      <c r="H39" s="6" t="s">
        <v>270</v>
      </c>
      <c r="I39" s="6" t="s">
        <v>271</v>
      </c>
      <c r="J39" s="9">
        <v>45627</v>
      </c>
      <c r="K39" s="6" t="s">
        <v>28</v>
      </c>
      <c r="L39" s="6" t="s">
        <v>28</v>
      </c>
      <c r="M39" s="54">
        <v>44717</v>
      </c>
      <c r="N39" s="53" t="s">
        <v>272</v>
      </c>
      <c r="O39" s="57" t="s">
        <v>273</v>
      </c>
      <c r="P39" s="56">
        <v>1013.09</v>
      </c>
      <c r="Q39" s="6"/>
      <c r="R39" s="7"/>
      <c r="S39" s="17"/>
    </row>
    <row r="40" spans="1:19" x14ac:dyDescent="0.35">
      <c r="A40" s="6" t="s">
        <v>274</v>
      </c>
      <c r="B40" s="6" t="s">
        <v>275</v>
      </c>
      <c r="C40" s="6" t="s">
        <v>211</v>
      </c>
      <c r="D40" s="6" t="s">
        <v>22</v>
      </c>
      <c r="E40" s="6" t="s">
        <v>154</v>
      </c>
      <c r="F40" s="6" t="s">
        <v>110</v>
      </c>
      <c r="G40" s="6" t="s">
        <v>276</v>
      </c>
      <c r="H40" s="6" t="s">
        <v>277</v>
      </c>
      <c r="I40" s="6" t="s">
        <v>278</v>
      </c>
      <c r="J40" s="9">
        <v>45931</v>
      </c>
      <c r="K40" s="6" t="s">
        <v>28</v>
      </c>
      <c r="L40" s="6" t="s">
        <v>28</v>
      </c>
      <c r="M40" s="8"/>
      <c r="N40" s="8"/>
      <c r="O40" s="8"/>
      <c r="P40" s="6"/>
      <c r="Q40" s="6"/>
      <c r="R40" s="7"/>
      <c r="S40" s="17"/>
    </row>
    <row r="41" spans="1:19" x14ac:dyDescent="0.35">
      <c r="A41" s="6" t="s">
        <v>279</v>
      </c>
      <c r="B41" s="6" t="s">
        <v>280</v>
      </c>
      <c r="C41" s="6" t="s">
        <v>211</v>
      </c>
      <c r="D41" s="6" t="s">
        <v>22</v>
      </c>
      <c r="E41" s="6" t="s">
        <v>23</v>
      </c>
      <c r="F41" s="6" t="s">
        <v>281</v>
      </c>
      <c r="G41" s="6" t="s">
        <v>282</v>
      </c>
      <c r="H41" s="6"/>
      <c r="I41" s="6" t="s">
        <v>283</v>
      </c>
      <c r="J41" s="9">
        <v>46020</v>
      </c>
      <c r="K41" s="6" t="s">
        <v>28</v>
      </c>
      <c r="L41" s="6" t="s">
        <v>28</v>
      </c>
      <c r="M41" s="9"/>
      <c r="N41" s="9"/>
      <c r="O41" s="9"/>
      <c r="P41" s="6"/>
      <c r="Q41" s="6"/>
      <c r="R41" s="7"/>
      <c r="S41" s="17"/>
    </row>
    <row r="42" spans="1:19" x14ac:dyDescent="0.35">
      <c r="A42" s="6" t="s">
        <v>284</v>
      </c>
      <c r="B42" s="2" t="s">
        <v>285</v>
      </c>
      <c r="C42" s="6" t="s">
        <v>211</v>
      </c>
      <c r="D42" s="6" t="s">
        <v>22</v>
      </c>
      <c r="E42" s="6" t="s">
        <v>154</v>
      </c>
      <c r="F42" s="6" t="s">
        <v>286</v>
      </c>
      <c r="G42" s="6" t="s">
        <v>287</v>
      </c>
      <c r="H42" s="6" t="s">
        <v>288</v>
      </c>
      <c r="I42" s="13" t="s">
        <v>289</v>
      </c>
      <c r="J42" s="9">
        <v>45809</v>
      </c>
      <c r="K42" s="6" t="s">
        <v>28</v>
      </c>
      <c r="L42" s="6" t="s">
        <v>28</v>
      </c>
      <c r="M42" s="53" t="s">
        <v>290</v>
      </c>
      <c r="N42" s="53"/>
      <c r="O42" s="61"/>
      <c r="P42" s="56">
        <v>1024.3399999999999</v>
      </c>
      <c r="Q42" s="6"/>
      <c r="R42" s="7"/>
      <c r="S42" s="17"/>
    </row>
    <row r="43" spans="1:19" x14ac:dyDescent="0.35">
      <c r="A43" s="6" t="s">
        <v>291</v>
      </c>
      <c r="B43" s="6" t="s">
        <v>292</v>
      </c>
      <c r="C43" s="6" t="s">
        <v>211</v>
      </c>
      <c r="D43" s="6" t="s">
        <v>22</v>
      </c>
      <c r="E43" s="6" t="s">
        <v>293</v>
      </c>
      <c r="F43" s="6" t="s">
        <v>281</v>
      </c>
      <c r="G43" s="6" t="s">
        <v>294</v>
      </c>
      <c r="H43" s="6" t="s">
        <v>295</v>
      </c>
      <c r="I43" s="6" t="s">
        <v>296</v>
      </c>
      <c r="J43" s="9">
        <v>46023</v>
      </c>
      <c r="K43" s="33" t="s">
        <v>69</v>
      </c>
      <c r="L43" s="6" t="s">
        <v>28</v>
      </c>
      <c r="M43" s="53" t="s">
        <v>297</v>
      </c>
      <c r="N43" s="54">
        <v>44383</v>
      </c>
      <c r="O43" s="55">
        <v>45479</v>
      </c>
      <c r="P43" s="56">
        <v>6698.18</v>
      </c>
      <c r="Q43" s="6"/>
      <c r="R43" s="7" t="s">
        <v>298</v>
      </c>
      <c r="S43" s="17"/>
    </row>
    <row r="44" spans="1:19" x14ac:dyDescent="0.35">
      <c r="A44" s="6" t="s">
        <v>299</v>
      </c>
      <c r="B44" s="6" t="s">
        <v>300</v>
      </c>
      <c r="C44" s="6" t="s">
        <v>211</v>
      </c>
      <c r="D44" s="6" t="s">
        <v>22</v>
      </c>
      <c r="E44" s="6" t="s">
        <v>43</v>
      </c>
      <c r="F44" s="6" t="s">
        <v>286</v>
      </c>
      <c r="G44" s="6" t="s">
        <v>301</v>
      </c>
      <c r="H44" s="6" t="s">
        <v>302</v>
      </c>
      <c r="I44" s="6" t="s">
        <v>303</v>
      </c>
      <c r="J44" s="9">
        <v>45992</v>
      </c>
      <c r="K44" s="6" t="s">
        <v>28</v>
      </c>
      <c r="L44" s="6" t="s">
        <v>28</v>
      </c>
      <c r="M44" s="8"/>
      <c r="N44" s="8"/>
      <c r="O44" s="8"/>
      <c r="P44" s="6"/>
      <c r="Q44" s="6"/>
      <c r="R44" s="7"/>
      <c r="S44" s="17"/>
    </row>
    <row r="45" spans="1:19" x14ac:dyDescent="0.35">
      <c r="A45" s="6" t="s">
        <v>304</v>
      </c>
      <c r="B45" s="6" t="s">
        <v>305</v>
      </c>
      <c r="C45" s="6" t="s">
        <v>211</v>
      </c>
      <c r="D45" s="6" t="s">
        <v>22</v>
      </c>
      <c r="E45" s="6" t="s">
        <v>306</v>
      </c>
      <c r="F45" s="6" t="s">
        <v>281</v>
      </c>
      <c r="G45" s="6" t="s">
        <v>307</v>
      </c>
      <c r="H45" s="6"/>
      <c r="I45" s="6" t="s">
        <v>308</v>
      </c>
      <c r="J45" s="9">
        <v>45966</v>
      </c>
      <c r="K45" s="6" t="s">
        <v>28</v>
      </c>
      <c r="L45" s="6" t="s">
        <v>28</v>
      </c>
      <c r="M45" s="9"/>
      <c r="N45" s="9"/>
      <c r="O45" s="9"/>
      <c r="P45" s="56">
        <v>3247.81</v>
      </c>
      <c r="Q45" s="6"/>
      <c r="R45" s="7"/>
      <c r="S45" s="17"/>
    </row>
    <row r="46" spans="1:19" x14ac:dyDescent="0.35">
      <c r="A46" s="6" t="s">
        <v>309</v>
      </c>
      <c r="B46" s="6" t="s">
        <v>310</v>
      </c>
      <c r="C46" s="6" t="s">
        <v>211</v>
      </c>
      <c r="D46" s="6" t="s">
        <v>22</v>
      </c>
      <c r="E46" s="6" t="s">
        <v>311</v>
      </c>
      <c r="F46" s="6" t="s">
        <v>281</v>
      </c>
      <c r="G46" s="6" t="s">
        <v>312</v>
      </c>
      <c r="H46" s="6" t="s">
        <v>313</v>
      </c>
      <c r="I46" s="6" t="s">
        <v>314</v>
      </c>
      <c r="J46" s="9">
        <v>45684</v>
      </c>
      <c r="K46" s="33" t="s">
        <v>69</v>
      </c>
      <c r="L46" s="6" t="s">
        <v>28</v>
      </c>
      <c r="M46" s="9"/>
      <c r="N46" s="9"/>
      <c r="O46" s="9"/>
      <c r="P46" s="56">
        <v>60903.62</v>
      </c>
      <c r="Q46" s="6"/>
      <c r="R46" s="7" t="s">
        <v>315</v>
      </c>
      <c r="S46" s="17"/>
    </row>
    <row r="47" spans="1:19" x14ac:dyDescent="0.35">
      <c r="A47" s="1" t="s">
        <v>316</v>
      </c>
      <c r="B47" s="1" t="s">
        <v>317</v>
      </c>
      <c r="C47" s="1" t="s">
        <v>211</v>
      </c>
      <c r="D47" s="6" t="s">
        <v>22</v>
      </c>
      <c r="E47" s="16" t="s">
        <v>318</v>
      </c>
      <c r="F47" s="16" t="s">
        <v>281</v>
      </c>
      <c r="G47" s="16" t="s">
        <v>319</v>
      </c>
      <c r="H47" s="16" t="s">
        <v>320</v>
      </c>
      <c r="I47" s="66" t="s">
        <v>321</v>
      </c>
      <c r="J47" s="9">
        <v>46045</v>
      </c>
      <c r="K47" s="6" t="s">
        <v>28</v>
      </c>
      <c r="L47" s="6" t="s">
        <v>28</v>
      </c>
      <c r="M47" s="53" t="s">
        <v>322</v>
      </c>
      <c r="N47" s="53" t="s">
        <v>106</v>
      </c>
      <c r="O47" s="57" t="s">
        <v>106</v>
      </c>
      <c r="P47" s="56">
        <v>750</v>
      </c>
      <c r="Q47" s="1"/>
      <c r="R47" s="47"/>
      <c r="S47" s="17"/>
    </row>
    <row r="48" spans="1:19" x14ac:dyDescent="0.35">
      <c r="A48" s="1" t="s">
        <v>323</v>
      </c>
      <c r="B48" s="6" t="s">
        <v>175</v>
      </c>
      <c r="C48" s="1" t="s">
        <v>211</v>
      </c>
      <c r="D48" s="6" t="s">
        <v>22</v>
      </c>
      <c r="E48" s="16" t="s">
        <v>219</v>
      </c>
      <c r="F48" s="16" t="s">
        <v>324</v>
      </c>
      <c r="G48" s="16" t="s">
        <v>325</v>
      </c>
      <c r="H48" s="16" t="s">
        <v>326</v>
      </c>
      <c r="I48" s="16" t="s">
        <v>327</v>
      </c>
      <c r="J48" s="9">
        <v>45962</v>
      </c>
      <c r="K48" s="6" t="s">
        <v>28</v>
      </c>
      <c r="L48" s="33" t="s">
        <v>69</v>
      </c>
      <c r="M48" s="53" t="s">
        <v>328</v>
      </c>
      <c r="N48" s="53" t="s">
        <v>329</v>
      </c>
      <c r="O48" s="57" t="s">
        <v>330</v>
      </c>
      <c r="P48" s="56">
        <v>1603.43</v>
      </c>
      <c r="Q48" s="1"/>
      <c r="R48" s="48">
        <v>55</v>
      </c>
      <c r="S48" s="17"/>
    </row>
    <row r="49" spans="1:19" x14ac:dyDescent="0.35">
      <c r="A49" s="1" t="s">
        <v>331</v>
      </c>
      <c r="B49" s="1" t="s">
        <v>332</v>
      </c>
      <c r="C49" s="1" t="s">
        <v>211</v>
      </c>
      <c r="D49" s="6" t="s">
        <v>22</v>
      </c>
      <c r="E49" s="16" t="s">
        <v>333</v>
      </c>
      <c r="F49" s="16" t="s">
        <v>281</v>
      </c>
      <c r="G49" s="16" t="s">
        <v>334</v>
      </c>
      <c r="H49" s="16" t="s">
        <v>335</v>
      </c>
      <c r="I49" s="66" t="s">
        <v>336</v>
      </c>
      <c r="J49" s="9">
        <v>46050</v>
      </c>
      <c r="K49" s="6" t="s">
        <v>28</v>
      </c>
      <c r="L49" s="6" t="s">
        <v>28</v>
      </c>
      <c r="M49" s="53" t="s">
        <v>106</v>
      </c>
      <c r="N49" s="53" t="s">
        <v>337</v>
      </c>
      <c r="O49" s="57" t="s">
        <v>338</v>
      </c>
      <c r="P49" s="56">
        <v>1603.43</v>
      </c>
      <c r="Q49" s="1"/>
      <c r="R49" s="47"/>
      <c r="S49" s="17"/>
    </row>
    <row r="51" spans="1:19" x14ac:dyDescent="0.35">
      <c r="K51">
        <f>COUNTIF(K2:K49,"SIM")</f>
        <v>10</v>
      </c>
      <c r="L51">
        <f>COUNTIF(L2:L49,"SIM")</f>
        <v>10</v>
      </c>
    </row>
    <row r="55" spans="1:19" ht="16" x14ac:dyDescent="0.4">
      <c r="A55" s="75"/>
      <c r="B55" s="75"/>
      <c r="C55" s="75"/>
      <c r="D55" s="32"/>
    </row>
  </sheetData>
  <mergeCells count="1">
    <mergeCell ref="A55:C55"/>
  </mergeCells>
  <phoneticPr fontId="9" type="noConversion"/>
  <hyperlinks>
    <hyperlink ref="I15" r:id="rId1" xr:uid="{ACEDA02E-243D-4FDD-8DE6-F0925ED6D736}"/>
    <hyperlink ref="I26" r:id="rId2" xr:uid="{91A6C87F-8658-4CF7-BABE-FECDA75134F6}"/>
    <hyperlink ref="I18" r:id="rId3" xr:uid="{1B141527-CB76-4A64-BC98-EB731AD38C82}"/>
    <hyperlink ref="I6" r:id="rId4" display="mailto:Tiago.borba@ciser.com.br" xr:uid="{2A80D8BC-B9AC-4363-B29E-8A114F9C1439}"/>
    <hyperlink ref="I20" r:id="rId5" xr:uid="{9AF84F0A-46B6-42EF-85AC-C484139DA527}"/>
    <hyperlink ref="I22" r:id="rId6" xr:uid="{525EDF41-7BE7-49E9-8564-C31BF992ED95}"/>
    <hyperlink ref="I13" r:id="rId7" xr:uid="{96DA7E1A-C365-41D3-A1D2-6BEE0C432BF3}"/>
    <hyperlink ref="I8" r:id="rId8" xr:uid="{7B2EB4FA-5178-412A-9B23-69EE2779260D}"/>
    <hyperlink ref="I3" r:id="rId9" xr:uid="{F9E3A0C1-87E7-4323-B6FB-8F77B3C89680}"/>
    <hyperlink ref="I12" r:id="rId10" xr:uid="{EB23F954-2478-410B-8678-7CB631A0E440}"/>
    <hyperlink ref="I43" r:id="rId11" xr:uid="{C09A4D3F-DB67-4DCD-AD48-B613AD127407}"/>
    <hyperlink ref="I30" r:id="rId12" xr:uid="{8C0CFEF6-EACC-49F6-B3C4-5F0CCF2E57DA}"/>
    <hyperlink ref="I32" r:id="rId13" xr:uid="{9F56724F-5BEF-4238-8310-6B3C3AABE248}"/>
    <hyperlink ref="I41" r:id="rId14" xr:uid="{34A47C19-5331-4525-A15E-0CDC4D7ACE67}"/>
    <hyperlink ref="I46" r:id="rId15" xr:uid="{C0A61851-F9D7-45C3-8B2F-532FE7DDCF8F}"/>
    <hyperlink ref="I11" r:id="rId16" xr:uid="{1DB25F8C-FAD0-4417-B221-109089495C41}"/>
    <hyperlink ref="I47" r:id="rId17" tooltip="mailto:marcus.carmo@skala.com.br" display="mailto:marcus.carmo@skala.com.br" xr:uid="{12627603-4F79-488A-83D5-764819F3B242}"/>
    <hyperlink ref="I49" r:id="rId18" tooltip="mailto:poliveira@intercement.com" display="mailto:poliveira@intercement.com" xr:uid="{6D4C67CA-19CB-483B-8670-455604C0A0AF}"/>
    <hyperlink ref="I14" r:id="rId19" xr:uid="{62266D16-2F9D-4EA9-A062-2AB007A53417}"/>
    <hyperlink ref="I23" r:id="rId20" xr:uid="{40CA0DC0-62AC-4C3D-A6B6-FE2D019D083F}"/>
    <hyperlink ref="I28:I29" r:id="rId21" display="jeferson.m@bold.net" xr:uid="{60C9F3AB-F1E9-46C5-BAA2-5FFD9AD7DC03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23C0-5F0C-4AF3-BF0B-D50442559296}">
  <dimension ref="A1:AF47"/>
  <sheetViews>
    <sheetView tabSelected="1" zoomScale="98" zoomScaleNormal="98" workbookViewId="0"/>
  </sheetViews>
  <sheetFormatPr defaultRowHeight="14.5" x14ac:dyDescent="0.35"/>
  <cols>
    <col min="1" max="1" width="18.1796875" customWidth="1"/>
    <col min="2" max="2" width="15.26953125" customWidth="1"/>
    <col min="3" max="3" width="11.26953125" customWidth="1"/>
    <col min="4" max="4" width="12.7265625" customWidth="1"/>
    <col min="5" max="5" width="11.7265625" customWidth="1"/>
    <col min="6" max="7" width="10.1796875" customWidth="1"/>
    <col min="9" max="9" width="11.26953125" customWidth="1"/>
    <col min="10" max="10" width="11.81640625" customWidth="1"/>
    <col min="14" max="14" width="10.7265625" customWidth="1"/>
    <col min="15" max="15" width="12.26953125" customWidth="1"/>
    <col min="18" max="18" width="9.54296875" customWidth="1"/>
    <col min="19" max="19" width="10.7265625" customWidth="1"/>
    <col min="20" max="20" width="11.453125" customWidth="1"/>
    <col min="23" max="23" width="8.81640625" customWidth="1"/>
    <col min="24" max="25" width="11.26953125" customWidth="1"/>
    <col min="26" max="27" width="10" customWidth="1"/>
    <col min="29" max="29" width="10.7265625" customWidth="1"/>
    <col min="30" max="30" width="11.26953125" customWidth="1"/>
    <col min="31" max="31" width="9.81640625" customWidth="1"/>
  </cols>
  <sheetData>
    <row r="1" spans="1:32" x14ac:dyDescent="0.35">
      <c r="A1" s="42"/>
      <c r="B1" s="84">
        <v>45839</v>
      </c>
      <c r="C1" s="84"/>
      <c r="D1" s="84"/>
      <c r="E1" s="84"/>
      <c r="F1" s="85"/>
      <c r="G1" s="79">
        <v>45870</v>
      </c>
      <c r="H1" s="80"/>
      <c r="I1" s="80"/>
      <c r="J1" s="80"/>
      <c r="K1" s="81"/>
      <c r="L1" s="79">
        <v>45901</v>
      </c>
      <c r="M1" s="80"/>
      <c r="N1" s="80"/>
      <c r="O1" s="80"/>
      <c r="P1" s="81"/>
      <c r="Q1" s="79">
        <v>45931</v>
      </c>
      <c r="R1" s="80"/>
      <c r="S1" s="80"/>
      <c r="T1" s="80"/>
      <c r="U1" s="81"/>
      <c r="V1" s="79">
        <v>45962</v>
      </c>
      <c r="W1" s="80"/>
      <c r="X1" s="80"/>
      <c r="Y1" s="80"/>
      <c r="Z1" s="81"/>
      <c r="AA1" s="79">
        <v>45992</v>
      </c>
      <c r="AB1" s="80"/>
      <c r="AC1" s="80"/>
      <c r="AD1" s="80"/>
      <c r="AE1" s="81"/>
    </row>
    <row r="2" spans="1:32" x14ac:dyDescent="0.35">
      <c r="A2" s="42"/>
      <c r="B2" s="15" t="s">
        <v>339</v>
      </c>
      <c r="C2" s="40" t="s">
        <v>340</v>
      </c>
      <c r="D2" s="41" t="s">
        <v>341</v>
      </c>
      <c r="E2" s="19" t="s">
        <v>342</v>
      </c>
      <c r="F2" s="20" t="s">
        <v>342</v>
      </c>
      <c r="G2" s="15" t="s">
        <v>339</v>
      </c>
      <c r="H2" s="40" t="s">
        <v>340</v>
      </c>
      <c r="I2" s="41" t="s">
        <v>341</v>
      </c>
      <c r="J2" s="19" t="s">
        <v>342</v>
      </c>
      <c r="K2" s="20" t="s">
        <v>342</v>
      </c>
      <c r="L2" s="15" t="s">
        <v>339</v>
      </c>
      <c r="M2" s="40" t="s">
        <v>340</v>
      </c>
      <c r="N2" s="41" t="s">
        <v>341</v>
      </c>
      <c r="O2" s="19" t="s">
        <v>342</v>
      </c>
      <c r="P2" s="20" t="s">
        <v>342</v>
      </c>
      <c r="Q2" s="15" t="s">
        <v>339</v>
      </c>
      <c r="R2" s="40" t="s">
        <v>340</v>
      </c>
      <c r="S2" s="41" t="s">
        <v>341</v>
      </c>
      <c r="T2" s="19" t="s">
        <v>342</v>
      </c>
      <c r="U2" s="20" t="s">
        <v>342</v>
      </c>
      <c r="V2" s="15" t="s">
        <v>339</v>
      </c>
      <c r="W2" s="40" t="s">
        <v>340</v>
      </c>
      <c r="X2" s="41" t="s">
        <v>341</v>
      </c>
      <c r="Y2" s="19" t="s">
        <v>342</v>
      </c>
      <c r="Z2" s="20" t="s">
        <v>342</v>
      </c>
      <c r="AA2" s="15" t="s">
        <v>339</v>
      </c>
      <c r="AB2" s="40" t="s">
        <v>340</v>
      </c>
      <c r="AC2" s="41" t="s">
        <v>341</v>
      </c>
      <c r="AD2" s="19" t="s">
        <v>342</v>
      </c>
      <c r="AE2" s="20" t="s">
        <v>342</v>
      </c>
    </row>
    <row r="3" spans="1:32" x14ac:dyDescent="0.35">
      <c r="A3" s="43" t="s">
        <v>19</v>
      </c>
      <c r="B3" s="21" t="s">
        <v>343</v>
      </c>
      <c r="C3" s="21" t="s">
        <v>343</v>
      </c>
      <c r="D3" s="21" t="s">
        <v>343</v>
      </c>
      <c r="E3" s="21" t="s">
        <v>343</v>
      </c>
      <c r="F3" s="21" t="s">
        <v>343</v>
      </c>
      <c r="G3" s="21" t="s">
        <v>343</v>
      </c>
      <c r="H3" s="21" t="s">
        <v>343</v>
      </c>
      <c r="I3" s="21" t="s">
        <v>343</v>
      </c>
      <c r="J3" s="21" t="s">
        <v>343</v>
      </c>
      <c r="K3" s="21" t="s">
        <v>343</v>
      </c>
      <c r="L3" s="21" t="s">
        <v>343</v>
      </c>
      <c r="M3" s="21" t="s">
        <v>343</v>
      </c>
      <c r="N3" s="21" t="s">
        <v>343</v>
      </c>
      <c r="O3" s="21" t="s">
        <v>343</v>
      </c>
      <c r="P3" s="21" t="s">
        <v>343</v>
      </c>
      <c r="Q3" s="23" t="s">
        <v>344</v>
      </c>
      <c r="R3" s="23" t="s">
        <v>344</v>
      </c>
      <c r="S3" s="23" t="s">
        <v>344</v>
      </c>
      <c r="T3" s="23" t="s">
        <v>344</v>
      </c>
      <c r="U3" s="23" t="s">
        <v>344</v>
      </c>
      <c r="V3" s="21">
        <v>8</v>
      </c>
      <c r="W3" s="21">
        <v>1</v>
      </c>
      <c r="X3" s="21">
        <v>7</v>
      </c>
      <c r="Y3" s="21">
        <v>7</v>
      </c>
      <c r="Z3" s="21">
        <v>1</v>
      </c>
      <c r="AA3" s="21">
        <v>1</v>
      </c>
      <c r="AB3" s="21">
        <v>0</v>
      </c>
      <c r="AC3" s="21">
        <v>1</v>
      </c>
      <c r="AD3" s="24">
        <v>0</v>
      </c>
      <c r="AE3" s="24">
        <v>1</v>
      </c>
      <c r="AF3" s="25"/>
    </row>
    <row r="4" spans="1:32" x14ac:dyDescent="0.35">
      <c r="A4" s="44" t="s">
        <v>31</v>
      </c>
      <c r="B4" s="22">
        <v>0</v>
      </c>
      <c r="C4" s="21">
        <v>0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1</v>
      </c>
      <c r="W4" s="21">
        <v>0</v>
      </c>
      <c r="X4" s="21">
        <v>1</v>
      </c>
      <c r="Y4" s="21">
        <v>1</v>
      </c>
      <c r="Z4" s="21">
        <v>0</v>
      </c>
      <c r="AA4" s="22">
        <v>2</v>
      </c>
      <c r="AB4" s="22">
        <v>0</v>
      </c>
      <c r="AC4" s="22">
        <v>2</v>
      </c>
      <c r="AD4" s="26">
        <v>2</v>
      </c>
      <c r="AE4" s="26">
        <v>0</v>
      </c>
      <c r="AF4" s="25"/>
    </row>
    <row r="5" spans="1:32" x14ac:dyDescent="0.35">
      <c r="A5" s="43" t="s">
        <v>41</v>
      </c>
      <c r="B5" s="21">
        <v>0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1</v>
      </c>
      <c r="W5" s="21">
        <v>1</v>
      </c>
      <c r="X5" s="21">
        <v>0</v>
      </c>
      <c r="Y5" s="21">
        <v>0</v>
      </c>
      <c r="Z5" s="21">
        <v>1</v>
      </c>
      <c r="AA5" s="21">
        <v>0</v>
      </c>
      <c r="AB5" s="21">
        <v>0</v>
      </c>
      <c r="AC5" s="21">
        <v>0</v>
      </c>
      <c r="AD5" s="24">
        <v>0</v>
      </c>
      <c r="AE5" s="24">
        <v>0</v>
      </c>
      <c r="AF5" s="25"/>
    </row>
    <row r="6" spans="1:32" x14ac:dyDescent="0.35">
      <c r="A6" s="43" t="s">
        <v>51</v>
      </c>
      <c r="B6" s="21">
        <v>48</v>
      </c>
      <c r="C6" s="21">
        <v>21</v>
      </c>
      <c r="D6" s="21">
        <v>27</v>
      </c>
      <c r="E6" s="21">
        <v>48</v>
      </c>
      <c r="F6" s="21">
        <v>0</v>
      </c>
      <c r="G6" s="21">
        <v>66</v>
      </c>
      <c r="H6" s="21">
        <v>23</v>
      </c>
      <c r="I6" s="21">
        <v>43</v>
      </c>
      <c r="J6" s="21">
        <v>66</v>
      </c>
      <c r="K6" s="21">
        <v>0</v>
      </c>
      <c r="L6" s="21">
        <v>102</v>
      </c>
      <c r="M6" s="21">
        <v>30</v>
      </c>
      <c r="N6" s="21">
        <v>72</v>
      </c>
      <c r="O6" s="21">
        <v>100</v>
      </c>
      <c r="P6" s="21">
        <v>2</v>
      </c>
      <c r="Q6" s="21">
        <v>70</v>
      </c>
      <c r="R6" s="21">
        <v>19</v>
      </c>
      <c r="S6" s="21">
        <v>51</v>
      </c>
      <c r="T6" s="21">
        <v>70</v>
      </c>
      <c r="U6" s="21">
        <v>0</v>
      </c>
      <c r="V6" s="21">
        <v>35</v>
      </c>
      <c r="W6" s="21">
        <v>16</v>
      </c>
      <c r="X6" s="21">
        <v>19</v>
      </c>
      <c r="Y6" s="21">
        <v>33</v>
      </c>
      <c r="Z6" s="21">
        <v>2</v>
      </c>
      <c r="AA6" s="21">
        <v>30</v>
      </c>
      <c r="AB6" s="21">
        <v>16</v>
      </c>
      <c r="AC6" s="21">
        <v>14</v>
      </c>
      <c r="AD6" s="24">
        <v>30</v>
      </c>
      <c r="AE6" s="24">
        <v>0</v>
      </c>
      <c r="AF6" s="25"/>
    </row>
    <row r="7" spans="1:32" x14ac:dyDescent="0.35">
      <c r="A7" s="43" t="s">
        <v>62</v>
      </c>
      <c r="B7" s="21">
        <v>31</v>
      </c>
      <c r="C7" s="21">
        <v>13</v>
      </c>
      <c r="D7" s="21">
        <v>18</v>
      </c>
      <c r="E7" s="21">
        <v>27</v>
      </c>
      <c r="F7" s="21">
        <v>4</v>
      </c>
      <c r="G7" s="21">
        <v>37</v>
      </c>
      <c r="H7" s="21">
        <v>8</v>
      </c>
      <c r="I7" s="21">
        <v>29</v>
      </c>
      <c r="J7" s="21">
        <v>37</v>
      </c>
      <c r="K7" s="21">
        <v>0</v>
      </c>
      <c r="L7" s="21">
        <v>42</v>
      </c>
      <c r="M7" s="21">
        <v>23</v>
      </c>
      <c r="N7" s="21">
        <v>19</v>
      </c>
      <c r="O7" s="21">
        <v>38</v>
      </c>
      <c r="P7" s="21">
        <v>4</v>
      </c>
      <c r="Q7" s="21">
        <v>33</v>
      </c>
      <c r="R7" s="21">
        <v>11</v>
      </c>
      <c r="S7" s="21">
        <v>22</v>
      </c>
      <c r="T7" s="21">
        <v>33</v>
      </c>
      <c r="U7" s="21">
        <v>0</v>
      </c>
      <c r="V7" s="21">
        <v>23</v>
      </c>
      <c r="W7" s="21">
        <v>10</v>
      </c>
      <c r="X7" s="21">
        <v>13</v>
      </c>
      <c r="Y7" s="21">
        <v>18</v>
      </c>
      <c r="Z7" s="21">
        <v>5</v>
      </c>
      <c r="AA7" s="21">
        <v>18</v>
      </c>
      <c r="AB7" s="21">
        <v>9</v>
      </c>
      <c r="AC7" s="21">
        <v>9</v>
      </c>
      <c r="AD7" s="24">
        <v>16</v>
      </c>
      <c r="AE7" s="24">
        <v>2</v>
      </c>
      <c r="AF7" s="25"/>
    </row>
    <row r="8" spans="1:32" x14ac:dyDescent="0.35">
      <c r="A8" s="43" t="s">
        <v>72</v>
      </c>
      <c r="B8" s="21">
        <v>0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4">
        <v>0</v>
      </c>
      <c r="AE8" s="24">
        <v>0</v>
      </c>
      <c r="AF8" s="25"/>
    </row>
    <row r="9" spans="1:32" x14ac:dyDescent="0.35">
      <c r="A9" s="44" t="s">
        <v>80</v>
      </c>
      <c r="B9" s="22">
        <v>1</v>
      </c>
      <c r="C9" s="21">
        <v>0</v>
      </c>
      <c r="D9" s="21">
        <v>1</v>
      </c>
      <c r="E9" s="21">
        <v>1</v>
      </c>
      <c r="F9" s="21">
        <v>0</v>
      </c>
      <c r="G9" s="21">
        <v>2</v>
      </c>
      <c r="H9" s="21">
        <v>0</v>
      </c>
      <c r="I9" s="21">
        <v>2</v>
      </c>
      <c r="J9" s="21">
        <v>2</v>
      </c>
      <c r="K9" s="21">
        <v>0</v>
      </c>
      <c r="L9" s="21">
        <v>3</v>
      </c>
      <c r="M9" s="21">
        <v>3</v>
      </c>
      <c r="N9" s="21">
        <v>0</v>
      </c>
      <c r="O9" s="21">
        <v>3</v>
      </c>
      <c r="P9" s="21">
        <v>0</v>
      </c>
      <c r="Q9" s="21">
        <v>10</v>
      </c>
      <c r="R9" s="21">
        <v>2</v>
      </c>
      <c r="S9" s="21">
        <v>8</v>
      </c>
      <c r="T9" s="21">
        <v>10</v>
      </c>
      <c r="U9" s="21">
        <v>0</v>
      </c>
      <c r="V9" s="21">
        <v>5</v>
      </c>
      <c r="W9" s="21">
        <v>0</v>
      </c>
      <c r="X9" s="21">
        <v>5</v>
      </c>
      <c r="Y9" s="21">
        <v>5</v>
      </c>
      <c r="Z9" s="21">
        <v>0</v>
      </c>
      <c r="AA9" s="22">
        <v>7</v>
      </c>
      <c r="AB9" s="22">
        <v>5</v>
      </c>
      <c r="AC9" s="22">
        <v>2</v>
      </c>
      <c r="AD9" s="26">
        <v>3</v>
      </c>
      <c r="AE9" s="26">
        <v>4</v>
      </c>
      <c r="AF9" s="25"/>
    </row>
    <row r="10" spans="1:32" x14ac:dyDescent="0.35">
      <c r="A10" s="44" t="s">
        <v>86</v>
      </c>
      <c r="B10" s="22">
        <v>4</v>
      </c>
      <c r="C10" s="21">
        <v>0</v>
      </c>
      <c r="D10" s="21">
        <v>4</v>
      </c>
      <c r="E10" s="21">
        <v>4</v>
      </c>
      <c r="F10" s="21">
        <v>0</v>
      </c>
      <c r="G10" s="21">
        <v>5</v>
      </c>
      <c r="H10" s="21">
        <v>0</v>
      </c>
      <c r="I10" s="21">
        <v>5</v>
      </c>
      <c r="J10" s="21">
        <v>5</v>
      </c>
      <c r="K10" s="21">
        <v>0</v>
      </c>
      <c r="L10" s="21">
        <v>4</v>
      </c>
      <c r="M10" s="21">
        <v>0</v>
      </c>
      <c r="N10" s="21">
        <v>4</v>
      </c>
      <c r="O10" s="21">
        <v>4</v>
      </c>
      <c r="P10" s="21">
        <v>0</v>
      </c>
      <c r="Q10" s="21">
        <v>5</v>
      </c>
      <c r="R10" s="21">
        <v>0</v>
      </c>
      <c r="S10" s="21">
        <v>5</v>
      </c>
      <c r="T10" s="21">
        <v>5</v>
      </c>
      <c r="U10" s="21">
        <v>0</v>
      </c>
      <c r="V10" s="21">
        <v>4</v>
      </c>
      <c r="W10" s="21">
        <v>0</v>
      </c>
      <c r="X10" s="21">
        <v>4</v>
      </c>
      <c r="Y10" s="21">
        <v>4</v>
      </c>
      <c r="Z10" s="21">
        <v>0</v>
      </c>
      <c r="AA10" s="22">
        <v>4</v>
      </c>
      <c r="AB10" s="22">
        <v>0</v>
      </c>
      <c r="AC10" s="22">
        <v>4</v>
      </c>
      <c r="AD10" s="26">
        <v>4</v>
      </c>
      <c r="AE10" s="26">
        <v>0</v>
      </c>
      <c r="AF10" s="25"/>
    </row>
    <row r="11" spans="1:32" x14ac:dyDescent="0.35">
      <c r="A11" s="45" t="s">
        <v>92</v>
      </c>
      <c r="B11" s="21" t="s">
        <v>343</v>
      </c>
      <c r="C11" s="21" t="s">
        <v>343</v>
      </c>
      <c r="D11" s="21" t="s">
        <v>343</v>
      </c>
      <c r="E11" s="21" t="s">
        <v>343</v>
      </c>
      <c r="F11" s="21" t="s">
        <v>343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2">
        <v>0</v>
      </c>
      <c r="AB11" s="22">
        <v>0</v>
      </c>
      <c r="AC11" s="22">
        <v>0</v>
      </c>
      <c r="AD11" s="26">
        <v>0</v>
      </c>
      <c r="AE11" s="26">
        <v>0</v>
      </c>
      <c r="AF11" s="25"/>
    </row>
    <row r="12" spans="1:32" x14ac:dyDescent="0.35">
      <c r="A12" s="45" t="s">
        <v>100</v>
      </c>
      <c r="B12" s="23">
        <v>3</v>
      </c>
      <c r="C12" s="21">
        <v>1</v>
      </c>
      <c r="D12" s="21">
        <v>2</v>
      </c>
      <c r="E12" s="21">
        <v>3</v>
      </c>
      <c r="F12" s="21">
        <v>0</v>
      </c>
      <c r="G12" s="21">
        <v>1</v>
      </c>
      <c r="H12" s="21">
        <v>0</v>
      </c>
      <c r="I12" s="21">
        <v>1</v>
      </c>
      <c r="J12" s="21">
        <v>1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4">
        <v>0</v>
      </c>
      <c r="AE12" s="24">
        <v>0</v>
      </c>
      <c r="AF12" s="25"/>
    </row>
    <row r="13" spans="1:32" x14ac:dyDescent="0.35">
      <c r="A13" s="45" t="s">
        <v>108</v>
      </c>
      <c r="B13" s="23">
        <v>1</v>
      </c>
      <c r="C13" s="21">
        <v>1</v>
      </c>
      <c r="D13" s="21">
        <v>0</v>
      </c>
      <c r="E13" s="21">
        <v>1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1</v>
      </c>
      <c r="M13" s="21">
        <v>1</v>
      </c>
      <c r="N13" s="21">
        <v>0</v>
      </c>
      <c r="O13" s="21">
        <v>0</v>
      </c>
      <c r="P13" s="21">
        <v>1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2</v>
      </c>
      <c r="W13" s="21">
        <v>2</v>
      </c>
      <c r="X13" s="21">
        <v>0</v>
      </c>
      <c r="Y13" s="21">
        <v>1</v>
      </c>
      <c r="Z13" s="21">
        <v>1</v>
      </c>
      <c r="AA13" s="22">
        <v>1</v>
      </c>
      <c r="AB13" s="22">
        <v>1</v>
      </c>
      <c r="AC13" s="22">
        <v>0</v>
      </c>
      <c r="AD13" s="26">
        <v>1</v>
      </c>
      <c r="AE13" s="26">
        <v>0</v>
      </c>
      <c r="AF13" s="25"/>
    </row>
    <row r="14" spans="1:32" x14ac:dyDescent="0.35">
      <c r="A14" s="43" t="s">
        <v>116</v>
      </c>
      <c r="B14" s="21">
        <v>23</v>
      </c>
      <c r="C14" s="21">
        <v>13</v>
      </c>
      <c r="D14" s="21">
        <v>10</v>
      </c>
      <c r="E14" s="21">
        <v>6</v>
      </c>
      <c r="F14" s="21">
        <v>17</v>
      </c>
      <c r="G14" s="21">
        <v>14</v>
      </c>
      <c r="H14" s="21">
        <v>3</v>
      </c>
      <c r="I14" s="21">
        <v>11</v>
      </c>
      <c r="J14" s="21">
        <v>14</v>
      </c>
      <c r="K14" s="21">
        <v>0</v>
      </c>
      <c r="L14" s="21">
        <v>8</v>
      </c>
      <c r="M14" s="21">
        <v>0</v>
      </c>
      <c r="N14" s="21">
        <v>8</v>
      </c>
      <c r="O14" s="21">
        <v>8</v>
      </c>
      <c r="P14" s="21">
        <v>0</v>
      </c>
      <c r="Q14" s="21">
        <v>20</v>
      </c>
      <c r="R14" s="21">
        <v>11</v>
      </c>
      <c r="S14" s="21">
        <v>9</v>
      </c>
      <c r="T14" s="21">
        <v>20</v>
      </c>
      <c r="U14" s="21">
        <v>0</v>
      </c>
      <c r="V14" s="21">
        <v>15</v>
      </c>
      <c r="W14" s="21">
        <v>7</v>
      </c>
      <c r="X14" s="21">
        <v>8</v>
      </c>
      <c r="Y14" s="21">
        <v>15</v>
      </c>
      <c r="Z14" s="21">
        <v>0</v>
      </c>
      <c r="AA14" s="21">
        <v>12</v>
      </c>
      <c r="AB14" s="21">
        <v>5</v>
      </c>
      <c r="AC14" s="21">
        <v>7</v>
      </c>
      <c r="AD14" s="24">
        <v>12</v>
      </c>
      <c r="AE14" s="24">
        <v>0</v>
      </c>
      <c r="AF14" s="25"/>
    </row>
    <row r="15" spans="1:32" x14ac:dyDescent="0.35">
      <c r="A15" s="43" t="s">
        <v>125</v>
      </c>
      <c r="B15" s="21">
        <v>0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4">
        <v>0</v>
      </c>
      <c r="AE15" s="24">
        <v>0</v>
      </c>
      <c r="AF15" s="25"/>
    </row>
    <row r="16" spans="1:32" x14ac:dyDescent="0.35">
      <c r="A16" s="43" t="s">
        <v>138</v>
      </c>
      <c r="B16" s="21" t="s">
        <v>343</v>
      </c>
      <c r="C16" s="21" t="s">
        <v>343</v>
      </c>
      <c r="D16" s="21" t="s">
        <v>343</v>
      </c>
      <c r="E16" s="21" t="s">
        <v>343</v>
      </c>
      <c r="F16" s="21" t="s">
        <v>343</v>
      </c>
      <c r="G16" s="21" t="s">
        <v>343</v>
      </c>
      <c r="H16" s="21" t="s">
        <v>343</v>
      </c>
      <c r="I16" s="21" t="s">
        <v>343</v>
      </c>
      <c r="J16" s="21" t="s">
        <v>343</v>
      </c>
      <c r="K16" s="21" t="s">
        <v>343</v>
      </c>
      <c r="L16" s="21" t="s">
        <v>343</v>
      </c>
      <c r="M16" s="21" t="s">
        <v>343</v>
      </c>
      <c r="N16" s="21" t="s">
        <v>343</v>
      </c>
      <c r="O16" s="21" t="s">
        <v>343</v>
      </c>
      <c r="P16" s="21" t="s">
        <v>343</v>
      </c>
      <c r="Q16" s="21" t="s">
        <v>343</v>
      </c>
      <c r="R16" s="21" t="s">
        <v>343</v>
      </c>
      <c r="S16" s="21" t="s">
        <v>343</v>
      </c>
      <c r="T16" s="21" t="s">
        <v>343</v>
      </c>
      <c r="U16" s="21" t="s">
        <v>343</v>
      </c>
      <c r="V16" s="21" t="s">
        <v>343</v>
      </c>
      <c r="W16" s="21" t="s">
        <v>343</v>
      </c>
      <c r="X16" s="21" t="s">
        <v>343</v>
      </c>
      <c r="Y16" s="21" t="s">
        <v>343</v>
      </c>
      <c r="Z16" s="21" t="s">
        <v>343</v>
      </c>
      <c r="AA16" s="21" t="s">
        <v>343</v>
      </c>
      <c r="AB16" s="21" t="s">
        <v>343</v>
      </c>
      <c r="AC16" s="21" t="s">
        <v>343</v>
      </c>
      <c r="AD16" s="21" t="s">
        <v>343</v>
      </c>
      <c r="AE16" s="21" t="s">
        <v>343</v>
      </c>
      <c r="AF16" s="25"/>
    </row>
    <row r="17" spans="1:32" x14ac:dyDescent="0.35">
      <c r="A17" s="43" t="s">
        <v>146</v>
      </c>
      <c r="B17" s="76">
        <v>16</v>
      </c>
      <c r="C17" s="76">
        <v>7</v>
      </c>
      <c r="D17" s="76">
        <v>9</v>
      </c>
      <c r="E17" s="76">
        <v>16</v>
      </c>
      <c r="F17" s="76">
        <v>0</v>
      </c>
      <c r="G17" s="76">
        <v>3</v>
      </c>
      <c r="H17" s="76">
        <v>1</v>
      </c>
      <c r="I17" s="76">
        <v>2</v>
      </c>
      <c r="J17" s="76">
        <v>3</v>
      </c>
      <c r="K17" s="76">
        <v>0</v>
      </c>
      <c r="L17" s="76">
        <v>7</v>
      </c>
      <c r="M17" s="76">
        <v>4</v>
      </c>
      <c r="N17" s="76">
        <v>3</v>
      </c>
      <c r="O17" s="76">
        <v>7</v>
      </c>
      <c r="P17" s="76">
        <v>0</v>
      </c>
      <c r="Q17" s="76">
        <v>9</v>
      </c>
      <c r="R17" s="76">
        <v>4</v>
      </c>
      <c r="S17" s="76">
        <v>5</v>
      </c>
      <c r="T17" s="76">
        <v>9</v>
      </c>
      <c r="U17" s="76">
        <v>0</v>
      </c>
      <c r="V17" s="76">
        <v>8</v>
      </c>
      <c r="W17" s="86">
        <v>3</v>
      </c>
      <c r="X17" s="76">
        <v>5</v>
      </c>
      <c r="Y17" s="76">
        <v>8</v>
      </c>
      <c r="Z17" s="29">
        <v>0</v>
      </c>
      <c r="AA17" s="82">
        <v>6</v>
      </c>
      <c r="AB17" s="83">
        <v>3</v>
      </c>
      <c r="AC17" s="83">
        <v>3</v>
      </c>
      <c r="AD17" s="89">
        <v>6</v>
      </c>
      <c r="AE17" s="89">
        <v>0</v>
      </c>
      <c r="AF17" s="25"/>
    </row>
    <row r="18" spans="1:32" x14ac:dyDescent="0.35">
      <c r="A18" s="43" t="s">
        <v>146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87"/>
      <c r="X18" s="77"/>
      <c r="Y18" s="77"/>
      <c r="Z18" s="30"/>
      <c r="AA18" s="82"/>
      <c r="AB18" s="83"/>
      <c r="AC18" s="83"/>
      <c r="AD18" s="89"/>
      <c r="AE18" s="89"/>
      <c r="AF18" s="25"/>
    </row>
    <row r="19" spans="1:32" x14ac:dyDescent="0.35">
      <c r="A19" s="43" t="s">
        <v>146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88"/>
      <c r="X19" s="78"/>
      <c r="Y19" s="78"/>
      <c r="Z19" s="31"/>
      <c r="AA19" s="82"/>
      <c r="AB19" s="83"/>
      <c r="AC19" s="83"/>
      <c r="AD19" s="89"/>
      <c r="AE19" s="89"/>
      <c r="AF19" s="25"/>
    </row>
    <row r="20" spans="1:32" x14ac:dyDescent="0.35">
      <c r="A20" s="43" t="s">
        <v>165</v>
      </c>
      <c r="B20" s="21" t="s">
        <v>343</v>
      </c>
      <c r="C20" s="21" t="s">
        <v>343</v>
      </c>
      <c r="D20" s="21" t="s">
        <v>343</v>
      </c>
      <c r="E20" s="21" t="s">
        <v>343</v>
      </c>
      <c r="F20" s="21" t="s">
        <v>343</v>
      </c>
      <c r="G20" s="21" t="s">
        <v>343</v>
      </c>
      <c r="H20" s="21" t="s">
        <v>343</v>
      </c>
      <c r="I20" s="21" t="s">
        <v>343</v>
      </c>
      <c r="J20" s="21" t="s">
        <v>343</v>
      </c>
      <c r="K20" s="21" t="s">
        <v>343</v>
      </c>
      <c r="L20" s="21" t="s">
        <v>343</v>
      </c>
      <c r="M20" s="21" t="s">
        <v>343</v>
      </c>
      <c r="N20" s="21" t="s">
        <v>343</v>
      </c>
      <c r="O20" s="21" t="s">
        <v>343</v>
      </c>
      <c r="P20" s="21" t="s">
        <v>343</v>
      </c>
      <c r="Q20" s="21" t="s">
        <v>343</v>
      </c>
      <c r="R20" s="21" t="s">
        <v>343</v>
      </c>
      <c r="S20" s="21" t="s">
        <v>343</v>
      </c>
      <c r="T20" s="21" t="s">
        <v>343</v>
      </c>
      <c r="U20" s="21" t="s">
        <v>343</v>
      </c>
      <c r="V20" s="21" t="s">
        <v>343</v>
      </c>
      <c r="W20" s="21" t="s">
        <v>343</v>
      </c>
      <c r="X20" s="21" t="s">
        <v>343</v>
      </c>
      <c r="Y20" s="21" t="s">
        <v>343</v>
      </c>
      <c r="Z20" s="21" t="s">
        <v>343</v>
      </c>
      <c r="AA20" s="21" t="s">
        <v>343</v>
      </c>
      <c r="AB20" s="21" t="s">
        <v>343</v>
      </c>
      <c r="AC20" s="21" t="s">
        <v>343</v>
      </c>
      <c r="AD20" s="21" t="s">
        <v>343</v>
      </c>
      <c r="AE20" s="21" t="s">
        <v>343</v>
      </c>
      <c r="AF20" s="25"/>
    </row>
    <row r="21" spans="1:32" x14ac:dyDescent="0.35">
      <c r="A21" s="44" t="s">
        <v>174</v>
      </c>
      <c r="B21" s="22">
        <v>5</v>
      </c>
      <c r="C21" s="21">
        <v>4</v>
      </c>
      <c r="D21" s="21">
        <v>1</v>
      </c>
      <c r="E21" s="21">
        <v>4</v>
      </c>
      <c r="F21" s="21">
        <v>1</v>
      </c>
      <c r="G21" s="21">
        <v>4</v>
      </c>
      <c r="H21" s="21">
        <v>2</v>
      </c>
      <c r="I21" s="21">
        <v>2</v>
      </c>
      <c r="J21" s="21">
        <v>4</v>
      </c>
      <c r="K21" s="21">
        <v>0</v>
      </c>
      <c r="L21" s="21">
        <v>3</v>
      </c>
      <c r="M21" s="21">
        <v>1</v>
      </c>
      <c r="N21" s="21">
        <v>2</v>
      </c>
      <c r="O21" s="21">
        <v>3</v>
      </c>
      <c r="P21" s="21">
        <v>0</v>
      </c>
      <c r="Q21" s="21">
        <v>2</v>
      </c>
      <c r="R21" s="21">
        <v>0</v>
      </c>
      <c r="S21" s="21">
        <v>2</v>
      </c>
      <c r="T21" s="21">
        <v>2</v>
      </c>
      <c r="U21" s="21">
        <v>0</v>
      </c>
      <c r="V21" s="21">
        <v>1</v>
      </c>
      <c r="W21" s="21">
        <v>0</v>
      </c>
      <c r="X21" s="21">
        <v>1</v>
      </c>
      <c r="Y21" s="21">
        <v>1</v>
      </c>
      <c r="Z21" s="21">
        <v>0</v>
      </c>
      <c r="AA21" s="22">
        <v>4</v>
      </c>
      <c r="AB21" s="22">
        <v>2</v>
      </c>
      <c r="AC21" s="22">
        <v>2</v>
      </c>
      <c r="AD21" s="26">
        <v>4</v>
      </c>
      <c r="AE21" s="26">
        <v>0</v>
      </c>
      <c r="AF21" s="25"/>
    </row>
    <row r="22" spans="1:32" x14ac:dyDescent="0.35">
      <c r="A22" s="43" t="s">
        <v>181</v>
      </c>
      <c r="B22" s="76">
        <v>18</v>
      </c>
      <c r="C22" s="76">
        <v>10</v>
      </c>
      <c r="D22" s="76">
        <v>8</v>
      </c>
      <c r="E22" s="76">
        <v>17</v>
      </c>
      <c r="F22" s="76">
        <v>1</v>
      </c>
      <c r="G22" s="76">
        <v>8</v>
      </c>
      <c r="H22" s="76">
        <v>8</v>
      </c>
      <c r="I22" s="76">
        <v>0</v>
      </c>
      <c r="J22" s="76">
        <v>8</v>
      </c>
      <c r="K22" s="76">
        <v>0</v>
      </c>
      <c r="L22" s="76">
        <v>17</v>
      </c>
      <c r="M22" s="76">
        <v>10</v>
      </c>
      <c r="N22" s="76">
        <v>7</v>
      </c>
      <c r="O22" s="76">
        <v>15</v>
      </c>
      <c r="P22" s="76">
        <v>2</v>
      </c>
      <c r="Q22" s="76">
        <v>29</v>
      </c>
      <c r="R22" s="76">
        <v>26</v>
      </c>
      <c r="S22" s="76">
        <v>3</v>
      </c>
      <c r="T22" s="76">
        <v>29</v>
      </c>
      <c r="U22" s="76">
        <v>0</v>
      </c>
      <c r="V22" s="76">
        <v>20</v>
      </c>
      <c r="W22" s="76">
        <v>16</v>
      </c>
      <c r="X22" s="76">
        <v>4</v>
      </c>
      <c r="Y22" s="76">
        <v>12</v>
      </c>
      <c r="Z22" s="76">
        <v>8</v>
      </c>
      <c r="AA22" s="83">
        <v>29</v>
      </c>
      <c r="AB22" s="83">
        <v>27</v>
      </c>
      <c r="AC22" s="82">
        <v>2</v>
      </c>
      <c r="AD22" s="90">
        <v>22</v>
      </c>
      <c r="AE22" s="90">
        <v>5</v>
      </c>
      <c r="AF22" s="25"/>
    </row>
    <row r="23" spans="1:32" x14ac:dyDescent="0.35">
      <c r="A23" s="43" t="s">
        <v>192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83"/>
      <c r="AB23" s="83"/>
      <c r="AC23" s="82"/>
      <c r="AD23" s="90"/>
      <c r="AE23" s="90"/>
      <c r="AF23" s="25"/>
    </row>
    <row r="24" spans="1:32" x14ac:dyDescent="0.35">
      <c r="A24" s="43" t="s">
        <v>192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83"/>
      <c r="AB24" s="83"/>
      <c r="AC24" s="82"/>
      <c r="AD24" s="90"/>
      <c r="AE24" s="90"/>
      <c r="AF24" s="25"/>
    </row>
    <row r="25" spans="1:32" x14ac:dyDescent="0.35">
      <c r="A25" s="43" t="s">
        <v>202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83"/>
      <c r="AB25" s="83"/>
      <c r="AC25" s="82"/>
      <c r="AD25" s="90"/>
      <c r="AE25" s="90"/>
      <c r="AF25" s="25"/>
    </row>
    <row r="26" spans="1:32" x14ac:dyDescent="0.35">
      <c r="A26" s="43" t="s">
        <v>209</v>
      </c>
      <c r="B26" s="21">
        <v>0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4">
        <v>0</v>
      </c>
      <c r="AE26" s="24">
        <v>0</v>
      </c>
      <c r="AF26" s="25"/>
    </row>
    <row r="27" spans="1:32" x14ac:dyDescent="0.35">
      <c r="A27" s="43" t="s">
        <v>217</v>
      </c>
      <c r="B27" s="21">
        <v>1</v>
      </c>
      <c r="C27" s="21">
        <v>0</v>
      </c>
      <c r="D27" s="21">
        <v>1</v>
      </c>
      <c r="E27" s="21">
        <v>1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2</v>
      </c>
      <c r="M27" s="21">
        <v>1</v>
      </c>
      <c r="N27" s="21">
        <v>1</v>
      </c>
      <c r="O27" s="21">
        <v>2</v>
      </c>
      <c r="P27" s="21">
        <v>0</v>
      </c>
      <c r="Q27" s="21">
        <v>4</v>
      </c>
      <c r="R27" s="21">
        <v>4</v>
      </c>
      <c r="S27" s="21">
        <v>0</v>
      </c>
      <c r="T27" s="21">
        <v>4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4</v>
      </c>
      <c r="AB27" s="21">
        <v>3</v>
      </c>
      <c r="AC27" s="21">
        <v>1</v>
      </c>
      <c r="AD27" s="24">
        <v>4</v>
      </c>
      <c r="AE27" s="24">
        <v>0</v>
      </c>
      <c r="AF27" s="25"/>
    </row>
    <row r="28" spans="1:32" x14ac:dyDescent="0.35">
      <c r="A28" s="43" t="s">
        <v>231</v>
      </c>
      <c r="B28" s="21">
        <v>1</v>
      </c>
      <c r="C28" s="21">
        <v>1</v>
      </c>
      <c r="D28" s="21">
        <v>0</v>
      </c>
      <c r="E28" s="21">
        <v>0</v>
      </c>
      <c r="F28" s="21">
        <v>1</v>
      </c>
      <c r="G28" s="21">
        <v>1</v>
      </c>
      <c r="H28" s="21">
        <v>1</v>
      </c>
      <c r="I28" s="21">
        <v>0</v>
      </c>
      <c r="J28" s="21">
        <v>1</v>
      </c>
      <c r="K28" s="21">
        <v>0</v>
      </c>
      <c r="L28" s="21">
        <v>3</v>
      </c>
      <c r="M28" s="21">
        <v>3</v>
      </c>
      <c r="N28" s="21">
        <v>0</v>
      </c>
      <c r="O28" s="21">
        <v>1</v>
      </c>
      <c r="P28" s="21">
        <v>2</v>
      </c>
      <c r="Q28" s="21">
        <v>1</v>
      </c>
      <c r="R28" s="21">
        <v>1</v>
      </c>
      <c r="S28" s="21">
        <v>0</v>
      </c>
      <c r="T28" s="21">
        <v>1</v>
      </c>
      <c r="U28" s="21">
        <v>0</v>
      </c>
      <c r="V28" s="21">
        <v>1</v>
      </c>
      <c r="W28" s="21">
        <v>1</v>
      </c>
      <c r="X28" s="21">
        <v>0</v>
      </c>
      <c r="Y28" s="21">
        <v>1</v>
      </c>
      <c r="Z28" s="21">
        <v>0</v>
      </c>
      <c r="AA28" s="21">
        <v>0</v>
      </c>
      <c r="AB28" s="21">
        <v>0</v>
      </c>
      <c r="AC28" s="21">
        <v>0</v>
      </c>
      <c r="AD28" s="24">
        <v>0</v>
      </c>
      <c r="AE28" s="24">
        <v>0</v>
      </c>
      <c r="AF28" s="25"/>
    </row>
    <row r="29" spans="1:32" x14ac:dyDescent="0.35">
      <c r="A29" s="43" t="s">
        <v>236</v>
      </c>
      <c r="B29" s="21">
        <v>0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1</v>
      </c>
      <c r="M29" s="21">
        <v>1</v>
      </c>
      <c r="N29" s="21">
        <v>0</v>
      </c>
      <c r="O29" s="21">
        <v>1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1</v>
      </c>
      <c r="AB29" s="21">
        <v>1</v>
      </c>
      <c r="AC29" s="21">
        <v>0</v>
      </c>
      <c r="AD29" s="24">
        <v>1</v>
      </c>
      <c r="AE29" s="24">
        <v>0</v>
      </c>
      <c r="AF29" s="25"/>
    </row>
    <row r="30" spans="1:32" x14ac:dyDescent="0.35">
      <c r="A30" s="43" t="s">
        <v>241</v>
      </c>
      <c r="B30" s="21">
        <v>2</v>
      </c>
      <c r="C30" s="21">
        <v>2</v>
      </c>
      <c r="D30" s="21">
        <v>0</v>
      </c>
      <c r="E30" s="21">
        <v>1</v>
      </c>
      <c r="F30" s="21">
        <v>1</v>
      </c>
      <c r="G30" s="21">
        <v>2</v>
      </c>
      <c r="H30" s="21">
        <v>2</v>
      </c>
      <c r="I30" s="21">
        <v>0</v>
      </c>
      <c r="J30" s="21">
        <v>2</v>
      </c>
      <c r="K30" s="21">
        <v>0</v>
      </c>
      <c r="L30" s="21">
        <v>3</v>
      </c>
      <c r="M30" s="21">
        <v>3</v>
      </c>
      <c r="N30" s="21">
        <v>0</v>
      </c>
      <c r="O30" s="21">
        <v>2</v>
      </c>
      <c r="P30" s="21">
        <v>1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4</v>
      </c>
      <c r="W30" s="21">
        <v>4</v>
      </c>
      <c r="X30" s="21">
        <v>0</v>
      </c>
      <c r="Y30" s="21">
        <v>4</v>
      </c>
      <c r="Z30" s="21">
        <v>0</v>
      </c>
      <c r="AA30" s="21">
        <v>0</v>
      </c>
      <c r="AB30" s="21">
        <v>0</v>
      </c>
      <c r="AC30" s="21">
        <v>0</v>
      </c>
      <c r="AD30" s="24">
        <v>0</v>
      </c>
      <c r="AE30" s="24">
        <v>0</v>
      </c>
      <c r="AF30" s="25"/>
    </row>
    <row r="31" spans="1:32" x14ac:dyDescent="0.35">
      <c r="A31" s="43" t="s">
        <v>248</v>
      </c>
      <c r="B31" s="21">
        <v>6</v>
      </c>
      <c r="C31" s="21">
        <v>6</v>
      </c>
      <c r="D31" s="21">
        <v>0</v>
      </c>
      <c r="E31" s="21">
        <v>4</v>
      </c>
      <c r="F31" s="21">
        <v>2</v>
      </c>
      <c r="G31" s="21">
        <v>3</v>
      </c>
      <c r="H31" s="21">
        <v>3</v>
      </c>
      <c r="I31" s="21">
        <v>0</v>
      </c>
      <c r="J31" s="21">
        <v>3</v>
      </c>
      <c r="K31" s="21">
        <v>0</v>
      </c>
      <c r="L31" s="21">
        <v>4</v>
      </c>
      <c r="M31" s="21">
        <v>4</v>
      </c>
      <c r="N31" s="21">
        <v>0</v>
      </c>
      <c r="O31" s="21">
        <v>3</v>
      </c>
      <c r="P31" s="21">
        <v>1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1</v>
      </c>
      <c r="W31" s="21">
        <v>1</v>
      </c>
      <c r="X31" s="21">
        <v>0</v>
      </c>
      <c r="Y31" s="21">
        <v>1</v>
      </c>
      <c r="Z31" s="21">
        <v>0</v>
      </c>
      <c r="AA31" s="21">
        <v>4</v>
      </c>
      <c r="AB31" s="21">
        <v>4</v>
      </c>
      <c r="AC31" s="21">
        <v>0</v>
      </c>
      <c r="AD31" s="24">
        <v>2</v>
      </c>
      <c r="AE31" s="24">
        <v>2</v>
      </c>
      <c r="AF31" s="25"/>
    </row>
    <row r="32" spans="1:32" x14ac:dyDescent="0.35">
      <c r="A32" s="43" t="s">
        <v>253</v>
      </c>
      <c r="B32" s="21">
        <v>5</v>
      </c>
      <c r="C32" s="21">
        <v>3</v>
      </c>
      <c r="D32" s="21">
        <v>2</v>
      </c>
      <c r="E32" s="21">
        <v>4</v>
      </c>
      <c r="F32" s="21">
        <v>1</v>
      </c>
      <c r="G32" s="21">
        <v>1</v>
      </c>
      <c r="H32" s="21">
        <v>1</v>
      </c>
      <c r="I32" s="21">
        <v>0</v>
      </c>
      <c r="J32" s="21">
        <v>1</v>
      </c>
      <c r="K32" s="21">
        <v>0</v>
      </c>
      <c r="L32" s="21">
        <v>3</v>
      </c>
      <c r="M32" s="21">
        <v>2</v>
      </c>
      <c r="N32" s="21">
        <v>1</v>
      </c>
      <c r="O32" s="21">
        <v>2</v>
      </c>
      <c r="P32" s="21">
        <v>1</v>
      </c>
      <c r="Q32" s="21">
        <v>2</v>
      </c>
      <c r="R32" s="21">
        <v>2</v>
      </c>
      <c r="S32" s="21">
        <v>0</v>
      </c>
      <c r="T32" s="21">
        <v>2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4</v>
      </c>
      <c r="AB32" s="21">
        <v>3</v>
      </c>
      <c r="AC32" s="21">
        <v>1</v>
      </c>
      <c r="AD32" s="24">
        <v>3</v>
      </c>
      <c r="AE32" s="24">
        <v>0</v>
      </c>
      <c r="AF32" s="25"/>
    </row>
    <row r="33" spans="1:32" x14ac:dyDescent="0.35">
      <c r="A33" s="43" t="s">
        <v>258</v>
      </c>
      <c r="B33" s="21">
        <v>7</v>
      </c>
      <c r="C33" s="21">
        <v>7</v>
      </c>
      <c r="D33" s="21">
        <v>0</v>
      </c>
      <c r="E33" s="21">
        <v>6</v>
      </c>
      <c r="F33" s="21">
        <v>1</v>
      </c>
      <c r="G33" s="21">
        <v>8</v>
      </c>
      <c r="H33" s="21">
        <v>8</v>
      </c>
      <c r="I33" s="21">
        <v>0</v>
      </c>
      <c r="J33" s="21">
        <v>8</v>
      </c>
      <c r="K33" s="21">
        <v>0</v>
      </c>
      <c r="L33" s="21">
        <v>4</v>
      </c>
      <c r="M33" s="21">
        <v>4</v>
      </c>
      <c r="N33" s="21">
        <v>0</v>
      </c>
      <c r="O33" s="21">
        <v>4</v>
      </c>
      <c r="P33" s="21">
        <v>0</v>
      </c>
      <c r="Q33" s="21">
        <v>11</v>
      </c>
      <c r="R33" s="21">
        <v>9</v>
      </c>
      <c r="S33" s="21">
        <v>2</v>
      </c>
      <c r="T33" s="21">
        <v>11</v>
      </c>
      <c r="U33" s="21">
        <v>0</v>
      </c>
      <c r="V33" s="21">
        <v>6</v>
      </c>
      <c r="W33" s="21">
        <v>6</v>
      </c>
      <c r="X33" s="21">
        <v>0</v>
      </c>
      <c r="Y33" s="21">
        <v>6</v>
      </c>
      <c r="Z33" s="21">
        <v>0</v>
      </c>
      <c r="AA33" s="21">
        <v>5</v>
      </c>
      <c r="AB33" s="21">
        <v>4</v>
      </c>
      <c r="AC33" s="21">
        <v>1</v>
      </c>
      <c r="AD33" s="24">
        <v>5</v>
      </c>
      <c r="AE33" s="24">
        <v>0</v>
      </c>
      <c r="AF33" s="25"/>
    </row>
    <row r="34" spans="1:32" x14ac:dyDescent="0.35">
      <c r="A34" s="43" t="s">
        <v>265</v>
      </c>
      <c r="B34" s="21">
        <v>1</v>
      </c>
      <c r="C34" s="21">
        <v>1</v>
      </c>
      <c r="D34" s="21">
        <v>0</v>
      </c>
      <c r="E34" s="21">
        <v>0</v>
      </c>
      <c r="F34" s="21">
        <v>1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1</v>
      </c>
      <c r="M34" s="21">
        <v>1</v>
      </c>
      <c r="N34" s="21">
        <v>0</v>
      </c>
      <c r="O34" s="21">
        <v>1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1</v>
      </c>
      <c r="W34" s="21">
        <v>1</v>
      </c>
      <c r="X34" s="21">
        <v>0</v>
      </c>
      <c r="Y34" s="21">
        <v>1</v>
      </c>
      <c r="Z34" s="21">
        <v>0</v>
      </c>
      <c r="AA34" s="21">
        <v>0</v>
      </c>
      <c r="AB34" s="21">
        <v>0</v>
      </c>
      <c r="AC34" s="21">
        <v>0</v>
      </c>
      <c r="AD34" s="24">
        <v>0</v>
      </c>
      <c r="AE34" s="24">
        <v>0</v>
      </c>
      <c r="AF34" s="25"/>
    </row>
    <row r="35" spans="1:32" x14ac:dyDescent="0.35">
      <c r="A35" s="43" t="s">
        <v>274</v>
      </c>
      <c r="B35" s="21">
        <v>1</v>
      </c>
      <c r="C35" s="21">
        <v>1</v>
      </c>
      <c r="D35" s="21">
        <v>0</v>
      </c>
      <c r="E35" s="21">
        <v>1</v>
      </c>
      <c r="F35" s="21">
        <v>0</v>
      </c>
      <c r="G35" s="21">
        <v>1</v>
      </c>
      <c r="H35" s="21">
        <v>1</v>
      </c>
      <c r="I35" s="21">
        <v>0</v>
      </c>
      <c r="J35" s="21">
        <v>1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1</v>
      </c>
      <c r="R35" s="21">
        <v>1</v>
      </c>
      <c r="S35" s="21">
        <v>0</v>
      </c>
      <c r="T35" s="21">
        <v>1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4">
        <v>0</v>
      </c>
      <c r="AE35" s="24">
        <v>0</v>
      </c>
      <c r="AF35" s="25"/>
    </row>
    <row r="36" spans="1:32" x14ac:dyDescent="0.35">
      <c r="A36" s="43" t="s">
        <v>279</v>
      </c>
      <c r="B36" s="21">
        <v>0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27</v>
      </c>
      <c r="R36" s="21">
        <v>27</v>
      </c>
      <c r="S36" s="21">
        <v>0</v>
      </c>
      <c r="T36" s="21">
        <v>27</v>
      </c>
      <c r="U36" s="21">
        <v>0</v>
      </c>
      <c r="V36" s="21">
        <v>1</v>
      </c>
      <c r="W36" s="21">
        <v>1</v>
      </c>
      <c r="X36" s="21">
        <v>0</v>
      </c>
      <c r="Y36" s="21">
        <v>1</v>
      </c>
      <c r="Z36" s="21">
        <v>0</v>
      </c>
      <c r="AA36" s="21">
        <v>3</v>
      </c>
      <c r="AB36" s="21">
        <v>3</v>
      </c>
      <c r="AC36" s="21">
        <v>0</v>
      </c>
      <c r="AD36" s="24">
        <v>2</v>
      </c>
      <c r="AE36" s="24">
        <v>1</v>
      </c>
      <c r="AF36" s="25"/>
    </row>
    <row r="37" spans="1:32" x14ac:dyDescent="0.35">
      <c r="A37" s="43" t="s">
        <v>284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35">
        <v>0</v>
      </c>
      <c r="AB37" s="35">
        <v>0</v>
      </c>
      <c r="AC37" s="35">
        <v>0</v>
      </c>
      <c r="AD37" s="27">
        <v>0</v>
      </c>
      <c r="AE37" s="27">
        <v>0</v>
      </c>
      <c r="AF37" s="25"/>
    </row>
    <row r="38" spans="1:32" x14ac:dyDescent="0.35">
      <c r="A38" s="43" t="s">
        <v>291</v>
      </c>
      <c r="B38" s="21">
        <v>5</v>
      </c>
      <c r="C38" s="21">
        <v>2</v>
      </c>
      <c r="D38" s="21">
        <v>3</v>
      </c>
      <c r="E38" s="21">
        <v>5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4</v>
      </c>
      <c r="M38" s="21">
        <v>1</v>
      </c>
      <c r="N38" s="21">
        <v>3</v>
      </c>
      <c r="O38" s="21">
        <v>4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1</v>
      </c>
      <c r="W38" s="21">
        <v>0</v>
      </c>
      <c r="X38" s="21">
        <v>1</v>
      </c>
      <c r="Y38" s="21">
        <v>1</v>
      </c>
      <c r="Z38" s="21">
        <v>0</v>
      </c>
      <c r="AA38" s="21">
        <v>3</v>
      </c>
      <c r="AB38" s="21">
        <v>0</v>
      </c>
      <c r="AC38" s="21">
        <v>3</v>
      </c>
      <c r="AD38" s="24">
        <v>2</v>
      </c>
      <c r="AE38" s="24">
        <v>1</v>
      </c>
      <c r="AF38" s="25"/>
    </row>
    <row r="39" spans="1:32" x14ac:dyDescent="0.35">
      <c r="A39" s="43" t="s">
        <v>299</v>
      </c>
      <c r="B39" s="21">
        <v>0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1</v>
      </c>
      <c r="M39" s="21">
        <v>1</v>
      </c>
      <c r="N39" s="21">
        <v>0</v>
      </c>
      <c r="O39" s="21">
        <v>1</v>
      </c>
      <c r="P39" s="21">
        <v>0</v>
      </c>
      <c r="Q39" s="21">
        <v>3</v>
      </c>
      <c r="R39" s="21">
        <v>2</v>
      </c>
      <c r="S39" s="21">
        <v>1</v>
      </c>
      <c r="T39" s="21">
        <v>3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4">
        <v>0</v>
      </c>
      <c r="AE39" s="24">
        <v>0</v>
      </c>
      <c r="AF39" s="25"/>
    </row>
    <row r="40" spans="1:32" x14ac:dyDescent="0.35">
      <c r="A40" s="43" t="s">
        <v>304</v>
      </c>
      <c r="B40" s="21">
        <v>1</v>
      </c>
      <c r="C40" s="21">
        <v>1</v>
      </c>
      <c r="D40" s="21">
        <v>0</v>
      </c>
      <c r="E40" s="21">
        <v>1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3</v>
      </c>
      <c r="R40" s="21">
        <v>2</v>
      </c>
      <c r="S40" s="21">
        <v>1</v>
      </c>
      <c r="T40" s="21">
        <v>3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1</v>
      </c>
      <c r="AB40" s="21">
        <v>1</v>
      </c>
      <c r="AC40" s="21">
        <v>0</v>
      </c>
      <c r="AD40" s="24">
        <v>1</v>
      </c>
      <c r="AE40" s="24">
        <v>0</v>
      </c>
      <c r="AF40" s="25"/>
    </row>
    <row r="41" spans="1:32" x14ac:dyDescent="0.35">
      <c r="A41" s="43" t="s">
        <v>309</v>
      </c>
      <c r="B41" s="21">
        <v>24</v>
      </c>
      <c r="C41" s="21">
        <v>12</v>
      </c>
      <c r="D41" s="21">
        <v>12</v>
      </c>
      <c r="E41" s="21">
        <v>16</v>
      </c>
      <c r="F41" s="21">
        <v>8</v>
      </c>
      <c r="G41" s="21">
        <v>10</v>
      </c>
      <c r="H41" s="21">
        <v>4</v>
      </c>
      <c r="I41" s="21">
        <v>6</v>
      </c>
      <c r="J41" s="21">
        <v>10</v>
      </c>
      <c r="K41" s="21">
        <v>0</v>
      </c>
      <c r="L41" s="21">
        <v>21</v>
      </c>
      <c r="M41" s="21">
        <v>5</v>
      </c>
      <c r="N41" s="21">
        <v>16</v>
      </c>
      <c r="O41" s="21">
        <v>20</v>
      </c>
      <c r="P41" s="21">
        <v>1</v>
      </c>
      <c r="Q41" s="21">
        <v>33</v>
      </c>
      <c r="R41" s="21">
        <v>7</v>
      </c>
      <c r="S41" s="21">
        <v>26</v>
      </c>
      <c r="T41" s="21">
        <v>32</v>
      </c>
      <c r="U41" s="21">
        <v>1</v>
      </c>
      <c r="V41" s="21">
        <v>20</v>
      </c>
      <c r="W41" s="21">
        <v>3</v>
      </c>
      <c r="X41" s="21">
        <v>17</v>
      </c>
      <c r="Y41" s="21">
        <v>16</v>
      </c>
      <c r="Z41" s="21">
        <v>4</v>
      </c>
      <c r="AA41" s="21">
        <v>19</v>
      </c>
      <c r="AB41" s="21">
        <v>3</v>
      </c>
      <c r="AC41" s="21">
        <v>16</v>
      </c>
      <c r="AD41" s="24">
        <v>11</v>
      </c>
      <c r="AE41" s="24">
        <v>7</v>
      </c>
      <c r="AF41" s="25"/>
    </row>
    <row r="42" spans="1:32" x14ac:dyDescent="0.35">
      <c r="A42" s="45" t="s">
        <v>316</v>
      </c>
      <c r="B42" s="21" t="s">
        <v>343</v>
      </c>
      <c r="C42" s="21" t="s">
        <v>343</v>
      </c>
      <c r="D42" s="21" t="s">
        <v>343</v>
      </c>
      <c r="E42" s="21" t="s">
        <v>343</v>
      </c>
      <c r="F42" s="21" t="s">
        <v>343</v>
      </c>
      <c r="G42" s="23" t="s">
        <v>344</v>
      </c>
      <c r="H42" s="23" t="s">
        <v>344</v>
      </c>
      <c r="I42" s="23" t="s">
        <v>344</v>
      </c>
      <c r="J42" s="23" t="s">
        <v>344</v>
      </c>
      <c r="K42" s="23" t="s">
        <v>344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3">
        <v>0</v>
      </c>
      <c r="AB42" s="23">
        <v>0</v>
      </c>
      <c r="AC42" s="23">
        <v>0</v>
      </c>
      <c r="AD42" s="28">
        <v>0</v>
      </c>
      <c r="AE42" s="28">
        <v>0</v>
      </c>
      <c r="AF42" s="25"/>
    </row>
    <row r="43" spans="1:32" x14ac:dyDescent="0.35">
      <c r="A43" s="45" t="s">
        <v>323</v>
      </c>
      <c r="B43" s="23" t="s">
        <v>344</v>
      </c>
      <c r="C43" s="23" t="s">
        <v>344</v>
      </c>
      <c r="D43" s="23" t="s">
        <v>344</v>
      </c>
      <c r="E43" s="23" t="s">
        <v>344</v>
      </c>
      <c r="F43" s="23" t="s">
        <v>344</v>
      </c>
      <c r="G43" s="23" t="s">
        <v>344</v>
      </c>
      <c r="H43" s="23" t="s">
        <v>344</v>
      </c>
      <c r="I43" s="23" t="s">
        <v>344</v>
      </c>
      <c r="J43" s="23" t="s">
        <v>344</v>
      </c>
      <c r="K43" s="23" t="s">
        <v>344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3">
        <v>0</v>
      </c>
      <c r="AB43" s="23">
        <v>0</v>
      </c>
      <c r="AC43" s="23">
        <v>0</v>
      </c>
      <c r="AD43" s="28">
        <v>0</v>
      </c>
      <c r="AE43" s="28">
        <v>0</v>
      </c>
      <c r="AF43" s="25"/>
    </row>
    <row r="44" spans="1:32" x14ac:dyDescent="0.35">
      <c r="A44" s="45" t="s">
        <v>331</v>
      </c>
      <c r="B44" s="21" t="s">
        <v>343</v>
      </c>
      <c r="C44" s="21" t="s">
        <v>343</v>
      </c>
      <c r="D44" s="21" t="s">
        <v>343</v>
      </c>
      <c r="E44" s="21" t="s">
        <v>343</v>
      </c>
      <c r="F44" s="21" t="s">
        <v>343</v>
      </c>
      <c r="G44" s="21" t="s">
        <v>343</v>
      </c>
      <c r="H44" s="21" t="s">
        <v>343</v>
      </c>
      <c r="I44" s="21" t="s">
        <v>343</v>
      </c>
      <c r="J44" s="21" t="s">
        <v>343</v>
      </c>
      <c r="K44" s="21" t="s">
        <v>343</v>
      </c>
      <c r="L44" s="21" t="s">
        <v>343</v>
      </c>
      <c r="M44" s="21" t="s">
        <v>343</v>
      </c>
      <c r="N44" s="21" t="s">
        <v>343</v>
      </c>
      <c r="O44" s="21" t="s">
        <v>343</v>
      </c>
      <c r="P44" s="21" t="s">
        <v>343</v>
      </c>
      <c r="Q44" s="21" t="s">
        <v>343</v>
      </c>
      <c r="R44" s="21" t="s">
        <v>343</v>
      </c>
      <c r="S44" s="21" t="s">
        <v>343</v>
      </c>
      <c r="T44" s="21" t="s">
        <v>343</v>
      </c>
      <c r="U44" s="21" t="s">
        <v>343</v>
      </c>
      <c r="V44" s="23" t="s">
        <v>344</v>
      </c>
      <c r="W44" s="23" t="s">
        <v>344</v>
      </c>
      <c r="X44" s="23" t="s">
        <v>344</v>
      </c>
      <c r="Y44" s="23" t="s">
        <v>344</v>
      </c>
      <c r="Z44" s="23" t="s">
        <v>344</v>
      </c>
      <c r="AA44" s="23" t="s">
        <v>344</v>
      </c>
      <c r="AB44" s="23" t="s">
        <v>344</v>
      </c>
      <c r="AC44" s="23" t="s">
        <v>344</v>
      </c>
      <c r="AD44" s="28" t="s">
        <v>344</v>
      </c>
      <c r="AE44" s="28" t="s">
        <v>344</v>
      </c>
      <c r="AF44" s="25"/>
    </row>
    <row r="45" spans="1:32" x14ac:dyDescent="0.35">
      <c r="A45" s="46" t="s">
        <v>345</v>
      </c>
      <c r="B45" s="21">
        <f t="shared" ref="B45:T45" si="0">SUM(B3:B44)</f>
        <v>204</v>
      </c>
      <c r="C45" s="36">
        <f t="shared" si="0"/>
        <v>106</v>
      </c>
      <c r="D45" s="21">
        <f t="shared" si="0"/>
        <v>98</v>
      </c>
      <c r="E45" s="21">
        <f t="shared" si="0"/>
        <v>166</v>
      </c>
      <c r="F45" s="38">
        <f t="shared" si="0"/>
        <v>38</v>
      </c>
      <c r="G45" s="21">
        <f t="shared" si="0"/>
        <v>166</v>
      </c>
      <c r="H45" s="36">
        <f t="shared" si="0"/>
        <v>65</v>
      </c>
      <c r="I45" s="21">
        <f t="shared" si="0"/>
        <v>101</v>
      </c>
      <c r="J45" s="21">
        <f t="shared" si="0"/>
        <v>166</v>
      </c>
      <c r="K45" s="38">
        <f t="shared" si="0"/>
        <v>0</v>
      </c>
      <c r="L45" s="21">
        <f t="shared" si="0"/>
        <v>234</v>
      </c>
      <c r="M45" s="36">
        <f t="shared" si="0"/>
        <v>98</v>
      </c>
      <c r="N45" s="21">
        <f t="shared" si="0"/>
        <v>136</v>
      </c>
      <c r="O45" s="21">
        <f t="shared" si="0"/>
        <v>219</v>
      </c>
      <c r="P45" s="38">
        <f t="shared" si="0"/>
        <v>15</v>
      </c>
      <c r="Q45" s="21">
        <f t="shared" si="0"/>
        <v>263</v>
      </c>
      <c r="R45" s="36">
        <f t="shared" si="0"/>
        <v>128</v>
      </c>
      <c r="S45" s="21">
        <f t="shared" si="0"/>
        <v>135</v>
      </c>
      <c r="T45" s="21">
        <f t="shared" si="0"/>
        <v>262</v>
      </c>
      <c r="U45" s="38">
        <f>SUM(U3:U44)</f>
        <v>1</v>
      </c>
      <c r="V45" s="21">
        <f>SUM(V3:V44)</f>
        <v>158</v>
      </c>
      <c r="W45" s="36">
        <f t="shared" ref="W45:AE45" si="1">SUM(W3:W44)</f>
        <v>73</v>
      </c>
      <c r="X45" s="21">
        <f t="shared" si="1"/>
        <v>85</v>
      </c>
      <c r="Y45" s="21">
        <f t="shared" si="1"/>
        <v>136</v>
      </c>
      <c r="Z45" s="38">
        <f t="shared" si="1"/>
        <v>22</v>
      </c>
      <c r="AA45" s="21">
        <f t="shared" si="1"/>
        <v>158</v>
      </c>
      <c r="AB45" s="36">
        <f t="shared" si="1"/>
        <v>90</v>
      </c>
      <c r="AC45" s="21">
        <f t="shared" si="1"/>
        <v>68</v>
      </c>
      <c r="AD45" s="37">
        <f t="shared" si="1"/>
        <v>131</v>
      </c>
      <c r="AE45" s="39">
        <f t="shared" si="1"/>
        <v>23</v>
      </c>
    </row>
    <row r="47" spans="1:32" x14ac:dyDescent="0.35">
      <c r="V47" s="34"/>
    </row>
  </sheetData>
  <mergeCells count="65">
    <mergeCell ref="Q22:Q25"/>
    <mergeCell ref="R22:R25"/>
    <mergeCell ref="S22:S25"/>
    <mergeCell ref="T22:T25"/>
    <mergeCell ref="U22:U25"/>
    <mergeCell ref="Q17:Q19"/>
    <mergeCell ref="R17:R19"/>
    <mergeCell ref="S17:S19"/>
    <mergeCell ref="T17:T19"/>
    <mergeCell ref="U17:U19"/>
    <mergeCell ref="L22:L25"/>
    <mergeCell ref="M22:M25"/>
    <mergeCell ref="N22:N25"/>
    <mergeCell ref="O22:O25"/>
    <mergeCell ref="P22:P25"/>
    <mergeCell ref="L17:L19"/>
    <mergeCell ref="M17:M19"/>
    <mergeCell ref="N17:N19"/>
    <mergeCell ref="O17:O19"/>
    <mergeCell ref="P17:P19"/>
    <mergeCell ref="J17:J19"/>
    <mergeCell ref="K17:K19"/>
    <mergeCell ref="G22:G25"/>
    <mergeCell ref="H22:H25"/>
    <mergeCell ref="I22:I25"/>
    <mergeCell ref="J22:J25"/>
    <mergeCell ref="K22:K25"/>
    <mergeCell ref="AC22:AC25"/>
    <mergeCell ref="AD22:AD25"/>
    <mergeCell ref="AE22:AE25"/>
    <mergeCell ref="B17:B19"/>
    <mergeCell ref="C17:C19"/>
    <mergeCell ref="D17:D19"/>
    <mergeCell ref="E17:E19"/>
    <mergeCell ref="F17:F19"/>
    <mergeCell ref="B22:B25"/>
    <mergeCell ref="C22:C25"/>
    <mergeCell ref="D22:D25"/>
    <mergeCell ref="E22:E25"/>
    <mergeCell ref="F22:F25"/>
    <mergeCell ref="G17:G19"/>
    <mergeCell ref="H17:H19"/>
    <mergeCell ref="I17:I19"/>
    <mergeCell ref="Z22:Z25"/>
    <mergeCell ref="AA1:AE1"/>
    <mergeCell ref="AA17:AA19"/>
    <mergeCell ref="AA22:AA25"/>
    <mergeCell ref="B1:F1"/>
    <mergeCell ref="G1:K1"/>
    <mergeCell ref="L1:P1"/>
    <mergeCell ref="Q1:U1"/>
    <mergeCell ref="V1:Z1"/>
    <mergeCell ref="V17:V19"/>
    <mergeCell ref="W17:W19"/>
    <mergeCell ref="AB17:AB19"/>
    <mergeCell ref="AB22:AB25"/>
    <mergeCell ref="AC17:AC19"/>
    <mergeCell ref="AD17:AD19"/>
    <mergeCell ref="AE17:AE19"/>
    <mergeCell ref="X17:X19"/>
    <mergeCell ref="Y17:Y19"/>
    <mergeCell ref="V22:V25"/>
    <mergeCell ref="W22:W25"/>
    <mergeCell ref="X22:X25"/>
    <mergeCell ref="Y22:Y25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89B8-982F-41FD-AE29-9BC7EA8FA198}">
  <dimension ref="A1:AF47"/>
  <sheetViews>
    <sheetView zoomScale="98" zoomScaleNormal="98" workbookViewId="0">
      <selection activeCell="B1" sqref="B1:AE1"/>
    </sheetView>
  </sheetViews>
  <sheetFormatPr defaultRowHeight="14.5" x14ac:dyDescent="0.35"/>
  <cols>
    <col min="1" max="1" width="18.1796875" customWidth="1"/>
    <col min="2" max="2" width="15.26953125" customWidth="1"/>
    <col min="3" max="3" width="11.26953125" customWidth="1"/>
    <col min="4" max="4" width="12.7265625" customWidth="1"/>
    <col min="5" max="5" width="11.7265625" customWidth="1"/>
    <col min="6" max="7" width="10.1796875" customWidth="1"/>
    <col min="9" max="9" width="11.26953125" customWidth="1"/>
    <col min="10" max="10" width="11.81640625" customWidth="1"/>
    <col min="14" max="14" width="10.7265625" customWidth="1"/>
    <col min="15" max="15" width="12.26953125" customWidth="1"/>
    <col min="18" max="18" width="9.54296875" customWidth="1"/>
    <col min="19" max="19" width="10.7265625" customWidth="1"/>
    <col min="20" max="20" width="11.453125" customWidth="1"/>
    <col min="23" max="23" width="8.81640625" customWidth="1"/>
    <col min="24" max="25" width="11.26953125" customWidth="1"/>
    <col min="26" max="27" width="10" customWidth="1"/>
    <col min="29" max="29" width="10.7265625" customWidth="1"/>
    <col min="30" max="30" width="11.26953125" customWidth="1"/>
    <col min="31" max="31" width="9.81640625" customWidth="1"/>
  </cols>
  <sheetData>
    <row r="1" spans="1:32" x14ac:dyDescent="0.35">
      <c r="A1" s="42"/>
      <c r="B1" s="84">
        <v>46023</v>
      </c>
      <c r="C1" s="84"/>
      <c r="D1" s="84"/>
      <c r="E1" s="84"/>
      <c r="F1" s="85"/>
      <c r="G1" s="84">
        <v>46054</v>
      </c>
      <c r="H1" s="84"/>
      <c r="I1" s="84"/>
      <c r="J1" s="84"/>
      <c r="K1" s="85"/>
      <c r="L1" s="84">
        <v>46082</v>
      </c>
      <c r="M1" s="84"/>
      <c r="N1" s="84"/>
      <c r="O1" s="84"/>
      <c r="P1" s="85"/>
      <c r="Q1" s="84">
        <v>46113</v>
      </c>
      <c r="R1" s="84"/>
      <c r="S1" s="84"/>
      <c r="T1" s="84"/>
      <c r="U1" s="85"/>
      <c r="V1" s="84">
        <v>46143</v>
      </c>
      <c r="W1" s="84"/>
      <c r="X1" s="84"/>
      <c r="Y1" s="84"/>
      <c r="Z1" s="85"/>
      <c r="AA1" s="84">
        <v>46174</v>
      </c>
      <c r="AB1" s="84"/>
      <c r="AC1" s="84"/>
      <c r="AD1" s="84"/>
      <c r="AE1" s="85"/>
    </row>
    <row r="2" spans="1:32" x14ac:dyDescent="0.35">
      <c r="A2" s="42"/>
      <c r="B2" s="15" t="s">
        <v>339</v>
      </c>
      <c r="C2" s="40" t="s">
        <v>340</v>
      </c>
      <c r="D2" s="41" t="s">
        <v>341</v>
      </c>
      <c r="E2" s="19" t="s">
        <v>342</v>
      </c>
      <c r="F2" s="20" t="s">
        <v>342</v>
      </c>
      <c r="G2" s="15" t="s">
        <v>339</v>
      </c>
      <c r="H2" s="40" t="s">
        <v>340</v>
      </c>
      <c r="I2" s="41" t="s">
        <v>341</v>
      </c>
      <c r="J2" s="19" t="s">
        <v>342</v>
      </c>
      <c r="K2" s="20" t="s">
        <v>342</v>
      </c>
      <c r="L2" s="15" t="s">
        <v>339</v>
      </c>
      <c r="M2" s="40" t="s">
        <v>340</v>
      </c>
      <c r="N2" s="41" t="s">
        <v>341</v>
      </c>
      <c r="O2" s="19" t="s">
        <v>342</v>
      </c>
      <c r="P2" s="20" t="s">
        <v>342</v>
      </c>
      <c r="Q2" s="15" t="s">
        <v>339</v>
      </c>
      <c r="R2" s="40" t="s">
        <v>340</v>
      </c>
      <c r="S2" s="41" t="s">
        <v>341</v>
      </c>
      <c r="T2" s="19" t="s">
        <v>342</v>
      </c>
      <c r="U2" s="20" t="s">
        <v>342</v>
      </c>
      <c r="V2" s="15" t="s">
        <v>339</v>
      </c>
      <c r="W2" s="40" t="s">
        <v>340</v>
      </c>
      <c r="X2" s="41" t="s">
        <v>341</v>
      </c>
      <c r="Y2" s="19" t="s">
        <v>342</v>
      </c>
      <c r="Z2" s="20" t="s">
        <v>342</v>
      </c>
      <c r="AA2" s="15" t="s">
        <v>339</v>
      </c>
      <c r="AB2" s="40" t="s">
        <v>340</v>
      </c>
      <c r="AC2" s="41" t="s">
        <v>341</v>
      </c>
      <c r="AD2" s="19" t="s">
        <v>342</v>
      </c>
      <c r="AE2" s="20" t="s">
        <v>342</v>
      </c>
    </row>
    <row r="3" spans="1:32" x14ac:dyDescent="0.35">
      <c r="A3" s="43" t="s">
        <v>19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3"/>
      <c r="R3" s="23"/>
      <c r="S3" s="23"/>
      <c r="T3" s="23"/>
      <c r="U3" s="23"/>
      <c r="V3" s="21"/>
      <c r="W3" s="21"/>
      <c r="X3" s="21"/>
      <c r="Y3" s="21"/>
      <c r="Z3" s="21"/>
      <c r="AA3" s="21"/>
      <c r="AB3" s="21"/>
      <c r="AC3" s="21"/>
      <c r="AD3" s="24"/>
      <c r="AE3" s="24"/>
      <c r="AF3" s="25"/>
    </row>
    <row r="4" spans="1:32" x14ac:dyDescent="0.35">
      <c r="A4" s="44" t="s">
        <v>31</v>
      </c>
      <c r="B4" s="22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2"/>
      <c r="AC4" s="22"/>
      <c r="AD4" s="26"/>
      <c r="AE4" s="26"/>
      <c r="AF4" s="25"/>
    </row>
    <row r="5" spans="1:32" x14ac:dyDescent="0.35">
      <c r="A5" s="43" t="s">
        <v>41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4"/>
      <c r="AE5" s="24"/>
      <c r="AF5" s="25"/>
    </row>
    <row r="6" spans="1:32" x14ac:dyDescent="0.35">
      <c r="A6" s="43" t="s">
        <v>51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4"/>
      <c r="AE6" s="24"/>
      <c r="AF6" s="25"/>
    </row>
    <row r="7" spans="1:32" x14ac:dyDescent="0.35">
      <c r="A7" s="43" t="s">
        <v>62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4"/>
      <c r="AE7" s="24"/>
      <c r="AF7" s="25"/>
    </row>
    <row r="8" spans="1:32" x14ac:dyDescent="0.35">
      <c r="A8" s="43" t="s">
        <v>72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4"/>
      <c r="AE8" s="24"/>
      <c r="AF8" s="25"/>
    </row>
    <row r="9" spans="1:32" x14ac:dyDescent="0.35">
      <c r="A9" s="44" t="s">
        <v>80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22"/>
      <c r="AC9" s="22"/>
      <c r="AD9" s="26"/>
      <c r="AE9" s="26"/>
      <c r="AF9" s="25"/>
    </row>
    <row r="10" spans="1:32" x14ac:dyDescent="0.35">
      <c r="A10" s="44" t="s">
        <v>86</v>
      </c>
      <c r="B10" s="22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22"/>
      <c r="AC10" s="22"/>
      <c r="AD10" s="26"/>
      <c r="AE10" s="26"/>
      <c r="AF10" s="25"/>
    </row>
    <row r="11" spans="1:32" x14ac:dyDescent="0.35">
      <c r="A11" s="45" t="s">
        <v>92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22"/>
      <c r="AC11" s="22"/>
      <c r="AD11" s="26"/>
      <c r="AE11" s="26"/>
      <c r="AF11" s="25"/>
    </row>
    <row r="12" spans="1:32" x14ac:dyDescent="0.35">
      <c r="A12" s="45" t="s">
        <v>100</v>
      </c>
      <c r="B12" s="23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4"/>
      <c r="AE12" s="24"/>
      <c r="AF12" s="25"/>
    </row>
    <row r="13" spans="1:32" x14ac:dyDescent="0.35">
      <c r="A13" s="45" t="s">
        <v>108</v>
      </c>
      <c r="B13" s="23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22"/>
      <c r="AC13" s="22"/>
      <c r="AD13" s="26"/>
      <c r="AE13" s="26"/>
      <c r="AF13" s="25"/>
    </row>
    <row r="14" spans="1:32" x14ac:dyDescent="0.35">
      <c r="A14" s="43" t="s">
        <v>116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4"/>
      <c r="AE14" s="24"/>
      <c r="AF14" s="25"/>
    </row>
    <row r="15" spans="1:32" x14ac:dyDescent="0.35">
      <c r="A15" s="43" t="s">
        <v>125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4"/>
      <c r="AE15" s="24"/>
      <c r="AF15" s="25"/>
    </row>
    <row r="16" spans="1:32" x14ac:dyDescent="0.35">
      <c r="A16" s="43" t="s">
        <v>138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5"/>
    </row>
    <row r="17" spans="1:32" x14ac:dyDescent="0.35">
      <c r="A17" s="43" t="s">
        <v>146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86"/>
      <c r="X17" s="76"/>
      <c r="Y17" s="76"/>
      <c r="Z17" s="29"/>
      <c r="AA17" s="82"/>
      <c r="AB17" s="83"/>
      <c r="AC17" s="83"/>
      <c r="AD17" s="89"/>
      <c r="AE17" s="89"/>
      <c r="AF17" s="25"/>
    </row>
    <row r="18" spans="1:32" x14ac:dyDescent="0.35">
      <c r="A18" s="43" t="s">
        <v>146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87"/>
      <c r="X18" s="77"/>
      <c r="Y18" s="77"/>
      <c r="Z18" s="30"/>
      <c r="AA18" s="82"/>
      <c r="AB18" s="83"/>
      <c r="AC18" s="83"/>
      <c r="AD18" s="89"/>
      <c r="AE18" s="89"/>
      <c r="AF18" s="25"/>
    </row>
    <row r="19" spans="1:32" x14ac:dyDescent="0.35">
      <c r="A19" s="43" t="s">
        <v>146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88"/>
      <c r="X19" s="78"/>
      <c r="Y19" s="78"/>
      <c r="Z19" s="31"/>
      <c r="AA19" s="82"/>
      <c r="AB19" s="83"/>
      <c r="AC19" s="83"/>
      <c r="AD19" s="89"/>
      <c r="AE19" s="89"/>
      <c r="AF19" s="25"/>
    </row>
    <row r="20" spans="1:32" x14ac:dyDescent="0.35">
      <c r="A20" s="43" t="s">
        <v>165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5"/>
    </row>
    <row r="21" spans="1:32" x14ac:dyDescent="0.35">
      <c r="A21" s="44" t="s">
        <v>174</v>
      </c>
      <c r="B21" s="22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2"/>
      <c r="AB21" s="22"/>
      <c r="AC21" s="22"/>
      <c r="AD21" s="26"/>
      <c r="AE21" s="26"/>
      <c r="AF21" s="25"/>
    </row>
    <row r="22" spans="1:32" x14ac:dyDescent="0.35">
      <c r="A22" s="43" t="s">
        <v>181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83"/>
      <c r="AB22" s="83"/>
      <c r="AC22" s="82"/>
      <c r="AD22" s="90"/>
      <c r="AE22" s="90"/>
      <c r="AF22" s="25"/>
    </row>
    <row r="23" spans="1:32" x14ac:dyDescent="0.35">
      <c r="A23" s="43" t="s">
        <v>192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83"/>
      <c r="AB23" s="83"/>
      <c r="AC23" s="82"/>
      <c r="AD23" s="90"/>
      <c r="AE23" s="90"/>
      <c r="AF23" s="25"/>
    </row>
    <row r="24" spans="1:32" x14ac:dyDescent="0.35">
      <c r="A24" s="43" t="s">
        <v>192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83"/>
      <c r="AB24" s="83"/>
      <c r="AC24" s="82"/>
      <c r="AD24" s="90"/>
      <c r="AE24" s="90"/>
      <c r="AF24" s="25"/>
    </row>
    <row r="25" spans="1:32" x14ac:dyDescent="0.35">
      <c r="A25" s="43" t="s">
        <v>202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83"/>
      <c r="AB25" s="83"/>
      <c r="AC25" s="82"/>
      <c r="AD25" s="90"/>
      <c r="AE25" s="90"/>
      <c r="AF25" s="25"/>
    </row>
    <row r="26" spans="1:32" x14ac:dyDescent="0.35">
      <c r="A26" s="43" t="s">
        <v>209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4"/>
      <c r="AE26" s="24"/>
      <c r="AF26" s="25"/>
    </row>
    <row r="27" spans="1:32" x14ac:dyDescent="0.35">
      <c r="A27" s="43" t="s">
        <v>217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4"/>
      <c r="AE27" s="24"/>
      <c r="AF27" s="25"/>
    </row>
    <row r="28" spans="1:32" x14ac:dyDescent="0.35">
      <c r="A28" s="43" t="s">
        <v>231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4"/>
      <c r="AE28" s="24"/>
      <c r="AF28" s="25"/>
    </row>
    <row r="29" spans="1:32" x14ac:dyDescent="0.35">
      <c r="A29" s="43" t="s">
        <v>236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4"/>
      <c r="AE29" s="24"/>
      <c r="AF29" s="25"/>
    </row>
    <row r="30" spans="1:32" x14ac:dyDescent="0.35">
      <c r="A30" s="43" t="s">
        <v>241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4"/>
      <c r="AE30" s="24"/>
      <c r="AF30" s="25"/>
    </row>
    <row r="31" spans="1:32" x14ac:dyDescent="0.35">
      <c r="A31" s="43" t="s">
        <v>248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4"/>
      <c r="AE31" s="24"/>
      <c r="AF31" s="25"/>
    </row>
    <row r="32" spans="1:32" x14ac:dyDescent="0.35">
      <c r="A32" s="43" t="s">
        <v>253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4"/>
      <c r="AE32" s="24"/>
      <c r="AF32" s="25"/>
    </row>
    <row r="33" spans="1:32" x14ac:dyDescent="0.35">
      <c r="A33" s="43" t="s">
        <v>258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4"/>
      <c r="AE33" s="24"/>
      <c r="AF33" s="25"/>
    </row>
    <row r="34" spans="1:32" x14ac:dyDescent="0.35">
      <c r="A34" s="43" t="s">
        <v>265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4"/>
      <c r="AE34" s="24"/>
      <c r="AF34" s="25"/>
    </row>
    <row r="35" spans="1:32" x14ac:dyDescent="0.35">
      <c r="A35" s="43" t="s">
        <v>274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4"/>
      <c r="AE35" s="24"/>
      <c r="AF35" s="25"/>
    </row>
    <row r="36" spans="1:32" x14ac:dyDescent="0.35">
      <c r="A36" s="43" t="s">
        <v>279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4"/>
      <c r="AE36" s="24"/>
      <c r="AF36" s="25"/>
    </row>
    <row r="37" spans="1:32" x14ac:dyDescent="0.35">
      <c r="A37" s="43" t="s">
        <v>284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35"/>
      <c r="AB37" s="35"/>
      <c r="AC37" s="35"/>
      <c r="AD37" s="27"/>
      <c r="AE37" s="27"/>
      <c r="AF37" s="25"/>
    </row>
    <row r="38" spans="1:32" x14ac:dyDescent="0.35">
      <c r="A38" s="43" t="s">
        <v>291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4"/>
      <c r="AE38" s="24"/>
      <c r="AF38" s="25"/>
    </row>
    <row r="39" spans="1:32" x14ac:dyDescent="0.35">
      <c r="A39" s="43" t="s">
        <v>299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4"/>
      <c r="AE39" s="24"/>
      <c r="AF39" s="25"/>
    </row>
    <row r="40" spans="1:32" x14ac:dyDescent="0.35">
      <c r="A40" s="43" t="s">
        <v>304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4"/>
      <c r="AE40" s="24"/>
      <c r="AF40" s="25"/>
    </row>
    <row r="41" spans="1:32" x14ac:dyDescent="0.35">
      <c r="A41" s="43" t="s">
        <v>309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4"/>
      <c r="AE41" s="24"/>
      <c r="AF41" s="25"/>
    </row>
    <row r="42" spans="1:32" x14ac:dyDescent="0.35">
      <c r="A42" s="45" t="s">
        <v>316</v>
      </c>
      <c r="B42" s="21"/>
      <c r="C42" s="21"/>
      <c r="D42" s="21"/>
      <c r="E42" s="21"/>
      <c r="F42" s="21"/>
      <c r="G42" s="23"/>
      <c r="H42" s="23"/>
      <c r="I42" s="23"/>
      <c r="J42" s="23"/>
      <c r="K42" s="23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3"/>
      <c r="AB42" s="23"/>
      <c r="AC42" s="23"/>
      <c r="AD42" s="28"/>
      <c r="AE42" s="28"/>
      <c r="AF42" s="25"/>
    </row>
    <row r="43" spans="1:32" x14ac:dyDescent="0.35">
      <c r="A43" s="45" t="s">
        <v>323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3"/>
      <c r="AB43" s="23"/>
      <c r="AC43" s="23"/>
      <c r="AD43" s="28"/>
      <c r="AE43" s="28"/>
      <c r="AF43" s="25"/>
    </row>
    <row r="44" spans="1:32" x14ac:dyDescent="0.35">
      <c r="A44" s="45" t="s">
        <v>331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3"/>
      <c r="W44" s="23"/>
      <c r="X44" s="23"/>
      <c r="Y44" s="23"/>
      <c r="Z44" s="23"/>
      <c r="AA44" s="23"/>
      <c r="AB44" s="23"/>
      <c r="AC44" s="23"/>
      <c r="AD44" s="28"/>
      <c r="AE44" s="28"/>
      <c r="AF44" s="25"/>
    </row>
    <row r="45" spans="1:32" x14ac:dyDescent="0.35">
      <c r="A45" s="46" t="s">
        <v>345</v>
      </c>
      <c r="B45" s="21"/>
      <c r="C45" s="36"/>
      <c r="D45" s="21"/>
      <c r="E45" s="21"/>
      <c r="F45" s="38"/>
      <c r="G45" s="21"/>
      <c r="H45" s="36"/>
      <c r="I45" s="21"/>
      <c r="J45" s="21"/>
      <c r="K45" s="38"/>
      <c r="L45" s="21"/>
      <c r="M45" s="36"/>
      <c r="N45" s="21"/>
      <c r="O45" s="21"/>
      <c r="P45" s="38"/>
      <c r="Q45" s="21"/>
      <c r="R45" s="36"/>
      <c r="S45" s="21"/>
      <c r="T45" s="21"/>
      <c r="U45" s="38"/>
      <c r="V45" s="21"/>
      <c r="W45" s="36"/>
      <c r="X45" s="21"/>
      <c r="Y45" s="21"/>
      <c r="Z45" s="38"/>
      <c r="AA45" s="21"/>
      <c r="AB45" s="36"/>
      <c r="AC45" s="21"/>
      <c r="AD45" s="37"/>
      <c r="AE45" s="39"/>
    </row>
    <row r="47" spans="1:32" x14ac:dyDescent="0.35">
      <c r="V47" s="34"/>
    </row>
  </sheetData>
  <mergeCells count="65">
    <mergeCell ref="AE22:AE25"/>
    <mergeCell ref="Y22:Y25"/>
    <mergeCell ref="Z22:Z25"/>
    <mergeCell ref="AA22:AA25"/>
    <mergeCell ref="AB22:AB25"/>
    <mergeCell ref="AC22:AC25"/>
    <mergeCell ref="AD22:AD25"/>
    <mergeCell ref="S22:S25"/>
    <mergeCell ref="T22:T25"/>
    <mergeCell ref="U22:U25"/>
    <mergeCell ref="V22:V25"/>
    <mergeCell ref="W22:W25"/>
    <mergeCell ref="X22:X25"/>
    <mergeCell ref="M22:M25"/>
    <mergeCell ref="N22:N25"/>
    <mergeCell ref="O22:O25"/>
    <mergeCell ref="P22:P25"/>
    <mergeCell ref="Q22:Q25"/>
    <mergeCell ref="R22:R25"/>
    <mergeCell ref="G22:G25"/>
    <mergeCell ref="H22:H25"/>
    <mergeCell ref="I22:I25"/>
    <mergeCell ref="J22:J25"/>
    <mergeCell ref="K22:K25"/>
    <mergeCell ref="L22:L25"/>
    <mergeCell ref="AA17:AA19"/>
    <mergeCell ref="AB17:AB19"/>
    <mergeCell ref="AC17:AC19"/>
    <mergeCell ref="AD17:AD19"/>
    <mergeCell ref="AE17:AE19"/>
    <mergeCell ref="B22:B25"/>
    <mergeCell ref="C22:C25"/>
    <mergeCell ref="D22:D25"/>
    <mergeCell ref="E22:E25"/>
    <mergeCell ref="F22:F25"/>
    <mergeCell ref="T17:T19"/>
    <mergeCell ref="U17:U19"/>
    <mergeCell ref="V17:V19"/>
    <mergeCell ref="W17:W19"/>
    <mergeCell ref="X17:X19"/>
    <mergeCell ref="Y17:Y19"/>
    <mergeCell ref="N17:N19"/>
    <mergeCell ref="O17:O19"/>
    <mergeCell ref="P17:P19"/>
    <mergeCell ref="Q17:Q19"/>
    <mergeCell ref="R17:R19"/>
    <mergeCell ref="S17:S19"/>
    <mergeCell ref="H17:H19"/>
    <mergeCell ref="I17:I19"/>
    <mergeCell ref="J17:J19"/>
    <mergeCell ref="K17:K19"/>
    <mergeCell ref="L17:L19"/>
    <mergeCell ref="M17:M19"/>
    <mergeCell ref="B17:B19"/>
    <mergeCell ref="C17:C19"/>
    <mergeCell ref="D17:D19"/>
    <mergeCell ref="E17:E19"/>
    <mergeCell ref="F17:F19"/>
    <mergeCell ref="G17:G19"/>
    <mergeCell ref="B1:F1"/>
    <mergeCell ref="G1:K1"/>
    <mergeCell ref="L1:P1"/>
    <mergeCell ref="Q1:U1"/>
    <mergeCell ref="V1:Z1"/>
    <mergeCell ref="AA1:AE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45335-7AF3-4B55-B22A-8B9211383B47}">
  <dimension ref="A1:BI49"/>
  <sheetViews>
    <sheetView zoomScale="80" zoomScaleNormal="80" workbookViewId="0">
      <selection activeCell="G34" sqref="G34"/>
    </sheetView>
  </sheetViews>
  <sheetFormatPr defaultRowHeight="14.5" x14ac:dyDescent="0.35"/>
  <cols>
    <col min="1" max="1" width="20" bestFit="1" customWidth="1"/>
    <col min="2" max="2" width="14.81640625" customWidth="1"/>
    <col min="3" max="3" width="11.453125" bestFit="1" customWidth="1"/>
    <col min="4" max="4" width="10" bestFit="1" customWidth="1"/>
    <col min="5" max="5" width="11.453125" bestFit="1" customWidth="1"/>
    <col min="6" max="6" width="10" bestFit="1" customWidth="1"/>
    <col min="7" max="7" width="11.453125" bestFit="1" customWidth="1"/>
    <col min="8" max="8" width="10" bestFit="1" customWidth="1"/>
    <col min="9" max="9" width="11.453125" bestFit="1" customWidth="1"/>
    <col min="10" max="10" width="10" bestFit="1" customWidth="1"/>
    <col min="11" max="11" width="11.453125" bestFit="1" customWidth="1"/>
    <col min="12" max="12" width="12.26953125" customWidth="1"/>
    <col min="13" max="13" width="11.453125" bestFit="1" customWidth="1"/>
    <col min="14" max="14" width="10" bestFit="1" customWidth="1"/>
    <col min="15" max="15" width="11.453125" bestFit="1" customWidth="1"/>
    <col min="16" max="16" width="10" bestFit="1" customWidth="1"/>
    <col min="17" max="17" width="11.453125" bestFit="1" customWidth="1"/>
    <col min="18" max="18" width="10" bestFit="1" customWidth="1"/>
    <col min="19" max="19" width="11.453125" bestFit="1" customWidth="1"/>
    <col min="20" max="20" width="10" bestFit="1" customWidth="1"/>
    <col min="21" max="21" width="11.453125" bestFit="1" customWidth="1"/>
    <col min="22" max="22" width="11.7265625" customWidth="1"/>
    <col min="23" max="23" width="11.453125" bestFit="1" customWidth="1"/>
    <col min="24" max="24" width="10" bestFit="1" customWidth="1"/>
    <col min="25" max="25" width="11.453125" bestFit="1" customWidth="1"/>
    <col min="27" max="27" width="15.26953125" customWidth="1"/>
    <col min="32" max="32" width="13.453125" customWidth="1"/>
    <col min="37" max="37" width="12.81640625" customWidth="1"/>
    <col min="42" max="42" width="13.26953125" customWidth="1"/>
    <col min="47" max="47" width="13.453125" customWidth="1"/>
    <col min="52" max="52" width="13.26953125" customWidth="1"/>
    <col min="57" max="57" width="13.26953125" customWidth="1"/>
  </cols>
  <sheetData>
    <row r="1" spans="1:61" x14ac:dyDescent="0.35">
      <c r="B1" s="94">
        <v>46023</v>
      </c>
      <c r="C1" s="94"/>
      <c r="D1" s="94"/>
      <c r="E1" s="94"/>
      <c r="F1" s="95"/>
      <c r="G1" s="91">
        <v>46054</v>
      </c>
      <c r="H1" s="92"/>
      <c r="I1" s="92"/>
      <c r="J1" s="92"/>
      <c r="K1" s="93"/>
      <c r="L1" s="91">
        <v>46082</v>
      </c>
      <c r="M1" s="92"/>
      <c r="N1" s="92"/>
      <c r="O1" s="92"/>
      <c r="P1" s="93"/>
      <c r="Q1" s="91">
        <v>46113</v>
      </c>
      <c r="R1" s="92"/>
      <c r="S1" s="92"/>
      <c r="T1" s="92"/>
      <c r="U1" s="93"/>
      <c r="V1" s="91">
        <v>46143</v>
      </c>
      <c r="W1" s="92"/>
      <c r="X1" s="92"/>
      <c r="Y1" s="92"/>
      <c r="Z1" s="93"/>
      <c r="AA1" s="91">
        <v>46174</v>
      </c>
      <c r="AB1" s="92"/>
      <c r="AC1" s="92"/>
      <c r="AD1" s="92"/>
      <c r="AE1" s="93"/>
      <c r="AF1" s="96">
        <v>46204</v>
      </c>
      <c r="AG1" s="94"/>
      <c r="AH1" s="94"/>
      <c r="AI1" s="94"/>
      <c r="AJ1" s="95"/>
      <c r="AK1" s="91">
        <v>46235</v>
      </c>
      <c r="AL1" s="92"/>
      <c r="AM1" s="92"/>
      <c r="AN1" s="92"/>
      <c r="AO1" s="93"/>
      <c r="AP1" s="91">
        <v>46266</v>
      </c>
      <c r="AQ1" s="92"/>
      <c r="AR1" s="92"/>
      <c r="AS1" s="92"/>
      <c r="AT1" s="93"/>
      <c r="AU1" s="91">
        <v>46296</v>
      </c>
      <c r="AV1" s="92"/>
      <c r="AW1" s="92"/>
      <c r="AX1" s="92"/>
      <c r="AY1" s="93"/>
      <c r="AZ1" s="91">
        <v>46327</v>
      </c>
      <c r="BA1" s="92"/>
      <c r="BB1" s="92"/>
      <c r="BC1" s="92"/>
      <c r="BD1" s="93"/>
      <c r="BE1" s="91">
        <v>46357</v>
      </c>
      <c r="BF1" s="92"/>
      <c r="BG1" s="92"/>
      <c r="BH1" s="92"/>
      <c r="BI1" s="93"/>
    </row>
    <row r="2" spans="1:61" ht="27.65" customHeight="1" x14ac:dyDescent="0.35">
      <c r="B2" s="15" t="s">
        <v>339</v>
      </c>
      <c r="C2" s="17" t="s">
        <v>340</v>
      </c>
      <c r="D2" s="17" t="s">
        <v>341</v>
      </c>
      <c r="E2" s="19" t="s">
        <v>342</v>
      </c>
      <c r="F2" s="20" t="s">
        <v>342</v>
      </c>
      <c r="G2" s="15" t="s">
        <v>339</v>
      </c>
      <c r="H2" s="17" t="s">
        <v>340</v>
      </c>
      <c r="I2" s="17" t="s">
        <v>341</v>
      </c>
      <c r="J2" s="19" t="s">
        <v>342</v>
      </c>
      <c r="K2" s="20" t="s">
        <v>342</v>
      </c>
      <c r="L2" s="15" t="s">
        <v>339</v>
      </c>
      <c r="M2" s="17" t="s">
        <v>340</v>
      </c>
      <c r="N2" s="17" t="s">
        <v>341</v>
      </c>
      <c r="O2" s="19" t="s">
        <v>342</v>
      </c>
      <c r="P2" s="20" t="s">
        <v>342</v>
      </c>
      <c r="Q2" s="15" t="s">
        <v>339</v>
      </c>
      <c r="R2" s="17" t="s">
        <v>340</v>
      </c>
      <c r="S2" s="17" t="s">
        <v>341</v>
      </c>
      <c r="T2" s="19" t="s">
        <v>342</v>
      </c>
      <c r="U2" s="20" t="s">
        <v>342</v>
      </c>
      <c r="V2" s="15" t="s">
        <v>339</v>
      </c>
      <c r="W2" s="17" t="s">
        <v>340</v>
      </c>
      <c r="X2" s="17" t="s">
        <v>341</v>
      </c>
      <c r="Y2" s="19" t="s">
        <v>342</v>
      </c>
      <c r="Z2" s="20" t="s">
        <v>342</v>
      </c>
      <c r="AA2" s="15" t="s">
        <v>339</v>
      </c>
      <c r="AB2" s="17" t="s">
        <v>340</v>
      </c>
      <c r="AC2" s="17" t="s">
        <v>341</v>
      </c>
      <c r="AD2" s="19" t="s">
        <v>342</v>
      </c>
      <c r="AE2" s="20" t="s">
        <v>342</v>
      </c>
      <c r="AF2" s="15" t="s">
        <v>339</v>
      </c>
      <c r="AG2" s="17" t="s">
        <v>340</v>
      </c>
      <c r="AH2" s="17" t="s">
        <v>341</v>
      </c>
      <c r="AI2" s="19" t="s">
        <v>342</v>
      </c>
      <c r="AJ2" s="20" t="s">
        <v>342</v>
      </c>
      <c r="AK2" s="15" t="s">
        <v>339</v>
      </c>
      <c r="AL2" s="17" t="s">
        <v>340</v>
      </c>
      <c r="AM2" s="17" t="s">
        <v>341</v>
      </c>
      <c r="AN2" s="19" t="s">
        <v>342</v>
      </c>
      <c r="AO2" s="20" t="s">
        <v>342</v>
      </c>
      <c r="AP2" s="15" t="s">
        <v>339</v>
      </c>
      <c r="AQ2" s="17" t="s">
        <v>340</v>
      </c>
      <c r="AR2" s="17" t="s">
        <v>341</v>
      </c>
      <c r="AS2" s="19" t="s">
        <v>342</v>
      </c>
      <c r="AT2" s="20" t="s">
        <v>342</v>
      </c>
      <c r="AU2" s="15" t="s">
        <v>339</v>
      </c>
      <c r="AV2" s="17" t="s">
        <v>340</v>
      </c>
      <c r="AW2" s="17" t="s">
        <v>341</v>
      </c>
      <c r="AX2" s="19" t="s">
        <v>342</v>
      </c>
      <c r="AY2" s="20" t="s">
        <v>342</v>
      </c>
      <c r="AZ2" s="15" t="s">
        <v>339</v>
      </c>
      <c r="BA2" s="17" t="s">
        <v>340</v>
      </c>
      <c r="BB2" s="17" t="s">
        <v>341</v>
      </c>
      <c r="BC2" s="19" t="s">
        <v>342</v>
      </c>
      <c r="BD2" s="20" t="s">
        <v>342</v>
      </c>
      <c r="BE2" s="15" t="s">
        <v>339</v>
      </c>
      <c r="BF2" s="17" t="s">
        <v>340</v>
      </c>
      <c r="BG2" s="17" t="s">
        <v>341</v>
      </c>
      <c r="BH2" s="19" t="s">
        <v>342</v>
      </c>
      <c r="BI2" s="20" t="s">
        <v>342</v>
      </c>
    </row>
    <row r="3" spans="1:61" x14ac:dyDescent="0.35">
      <c r="A3" s="6" t="s">
        <v>19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</row>
    <row r="4" spans="1:61" x14ac:dyDescent="0.35">
      <c r="A4" s="2" t="s">
        <v>31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1" x14ac:dyDescent="0.35">
      <c r="A5" s="6" t="s">
        <v>41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</row>
    <row r="6" spans="1:61" x14ac:dyDescent="0.35">
      <c r="A6" s="6" t="s">
        <v>51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x14ac:dyDescent="0.35">
      <c r="A7" s="6" t="s">
        <v>62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</row>
    <row r="8" spans="1:61" x14ac:dyDescent="0.35">
      <c r="A8" s="6" t="s">
        <v>72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</row>
    <row r="9" spans="1:61" x14ac:dyDescent="0.35">
      <c r="A9" s="2" t="s">
        <v>80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</row>
    <row r="10" spans="1:61" x14ac:dyDescent="0.35">
      <c r="A10" s="2" t="s">
        <v>86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</row>
    <row r="11" spans="1:61" x14ac:dyDescent="0.35">
      <c r="A11" s="1" t="s">
        <v>92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1" x14ac:dyDescent="0.35">
      <c r="A12" s="1" t="s">
        <v>100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</row>
    <row r="13" spans="1:61" x14ac:dyDescent="0.35">
      <c r="A13" s="1" t="s">
        <v>108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</row>
    <row r="14" spans="1:61" x14ac:dyDescent="0.35">
      <c r="A14" s="6" t="s">
        <v>116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</row>
    <row r="15" spans="1:61" x14ac:dyDescent="0.35">
      <c r="A15" s="6" t="s">
        <v>125</v>
      </c>
      <c r="B15" s="17"/>
      <c r="C15" s="17"/>
      <c r="D15" s="17"/>
      <c r="E15" s="17" t="s">
        <v>346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 t="s">
        <v>346</v>
      </c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 t="s">
        <v>346</v>
      </c>
      <c r="BB15" s="17"/>
      <c r="BC15" s="17"/>
      <c r="BD15" s="17"/>
      <c r="BE15" s="17"/>
      <c r="BF15" s="17"/>
      <c r="BG15" s="17"/>
      <c r="BH15" s="17"/>
      <c r="BI15" s="17"/>
    </row>
    <row r="16" spans="1:61" x14ac:dyDescent="0.35">
      <c r="A16" s="6" t="s">
        <v>138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</row>
    <row r="17" spans="1:61" x14ac:dyDescent="0.35">
      <c r="A17" s="6" t="s">
        <v>146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</row>
    <row r="18" spans="1:61" x14ac:dyDescent="0.35">
      <c r="A18" s="6" t="s">
        <v>146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</row>
    <row r="19" spans="1:61" x14ac:dyDescent="0.35">
      <c r="A19" s="6" t="s">
        <v>146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</row>
    <row r="20" spans="1:61" x14ac:dyDescent="0.35">
      <c r="A20" s="6" t="s">
        <v>165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</row>
    <row r="21" spans="1:61" x14ac:dyDescent="0.35">
      <c r="A21" s="2" t="s">
        <v>174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</row>
    <row r="22" spans="1:61" x14ac:dyDescent="0.35">
      <c r="A22" s="6" t="s">
        <v>181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</row>
    <row r="23" spans="1:61" x14ac:dyDescent="0.35">
      <c r="A23" s="6" t="s">
        <v>192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</row>
    <row r="24" spans="1:61" x14ac:dyDescent="0.35">
      <c r="A24" s="6" t="s">
        <v>192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</row>
    <row r="25" spans="1:61" x14ac:dyDescent="0.35">
      <c r="A25" s="6" t="s">
        <v>202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</row>
    <row r="26" spans="1:61" x14ac:dyDescent="0.35">
      <c r="A26" s="6" t="s">
        <v>209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</row>
    <row r="27" spans="1:61" x14ac:dyDescent="0.35">
      <c r="A27" s="6" t="s">
        <v>217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</row>
    <row r="28" spans="1:61" x14ac:dyDescent="0.35">
      <c r="A28" s="6" t="s">
        <v>231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</row>
    <row r="29" spans="1:61" x14ac:dyDescent="0.35">
      <c r="A29" s="6" t="s">
        <v>236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</row>
    <row r="30" spans="1:61" x14ac:dyDescent="0.35">
      <c r="A30" s="6" t="s">
        <v>241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</row>
    <row r="31" spans="1:61" x14ac:dyDescent="0.35">
      <c r="A31" s="6" t="s">
        <v>248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x14ac:dyDescent="0.35">
      <c r="A32" s="6" t="s">
        <v>253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</row>
    <row r="33" spans="1:61" x14ac:dyDescent="0.35">
      <c r="A33" s="6" t="s">
        <v>258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</row>
    <row r="34" spans="1:61" x14ac:dyDescent="0.35">
      <c r="A34" s="6" t="s">
        <v>265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</row>
    <row r="35" spans="1:61" x14ac:dyDescent="0.35">
      <c r="A35" s="6" t="s">
        <v>274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</row>
    <row r="36" spans="1:61" x14ac:dyDescent="0.35">
      <c r="A36" s="6" t="s">
        <v>279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</row>
    <row r="37" spans="1:61" x14ac:dyDescent="0.35">
      <c r="A37" s="6" t="s">
        <v>284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</row>
    <row r="38" spans="1:61" x14ac:dyDescent="0.35">
      <c r="A38" s="6" t="s">
        <v>291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</row>
    <row r="39" spans="1:61" x14ac:dyDescent="0.35">
      <c r="A39" s="6" t="s">
        <v>299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</row>
    <row r="40" spans="1:61" x14ac:dyDescent="0.35">
      <c r="A40" s="6" t="s">
        <v>304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</row>
    <row r="41" spans="1:61" x14ac:dyDescent="0.35">
      <c r="A41" s="6" t="s">
        <v>309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</row>
    <row r="42" spans="1:61" x14ac:dyDescent="0.35">
      <c r="A42" s="1" t="s">
        <v>316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</row>
    <row r="43" spans="1:61" x14ac:dyDescent="0.35">
      <c r="A43" s="1" t="s">
        <v>323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</row>
    <row r="44" spans="1:61" x14ac:dyDescent="0.35">
      <c r="A44" s="1" t="s">
        <v>331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</row>
    <row r="45" spans="1:61" x14ac:dyDescent="0.35">
      <c r="A45" s="18" t="s">
        <v>347</v>
      </c>
    </row>
    <row r="49" spans="1:1" x14ac:dyDescent="0.35">
      <c r="A49" t="s">
        <v>348</v>
      </c>
    </row>
  </sheetData>
  <mergeCells count="12">
    <mergeCell ref="B1:F1"/>
    <mergeCell ref="G1:K1"/>
    <mergeCell ref="L1:P1"/>
    <mergeCell ref="Q1:U1"/>
    <mergeCell ref="V1:Z1"/>
    <mergeCell ref="AZ1:BD1"/>
    <mergeCell ref="BE1:BI1"/>
    <mergeCell ref="AA1:AE1"/>
    <mergeCell ref="AF1:AJ1"/>
    <mergeCell ref="AK1:AO1"/>
    <mergeCell ref="AP1:AT1"/>
    <mergeCell ref="AU1:AY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Informações Gerais</vt:lpstr>
      <vt:lpstr>Chamados Mensais 2025</vt:lpstr>
      <vt:lpstr>Chamados Mensais 2026</vt:lpstr>
      <vt:lpstr>xx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Bento</dc:creator>
  <cp:keywords/>
  <dc:description/>
  <cp:lastModifiedBy>Gustavo Falcão</cp:lastModifiedBy>
  <cp:revision/>
  <dcterms:created xsi:type="dcterms:W3CDTF">2026-01-26T19:25:31Z</dcterms:created>
  <dcterms:modified xsi:type="dcterms:W3CDTF">2026-02-10T14:33:01Z</dcterms:modified>
  <cp:category/>
  <cp:contentStatus/>
</cp:coreProperties>
</file>